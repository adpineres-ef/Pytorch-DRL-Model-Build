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Pytorch-DRL-Model-Build\Training\"/>
    </mc:Choice>
  </mc:AlternateContent>
  <bookViews>
    <workbookView xWindow="240" yWindow="12" windowWidth="16092" windowHeight="9660" activeTab="3"/>
  </bookViews>
  <sheets>
    <sheet name="Sheet1" sheetId="1" r:id="rId1"/>
    <sheet name="Nuevos Resultados" sheetId="2" r:id="rId2"/>
    <sheet name="ResultadosFinales" sheetId="4" r:id="rId3"/>
    <sheet name="ResultadosFinales (2)" sheetId="5" r:id="rId4"/>
  </sheets>
  <calcPr calcId="162913"/>
</workbook>
</file>

<file path=xl/calcChain.xml><?xml version="1.0" encoding="utf-8"?>
<calcChain xmlns="http://schemas.openxmlformats.org/spreadsheetml/2006/main">
  <c r="G8" i="5" l="1"/>
  <c r="H8" i="5"/>
  <c r="I8" i="5"/>
  <c r="J8" i="5"/>
  <c r="K8" i="5"/>
  <c r="K7" i="5"/>
  <c r="J7" i="5"/>
  <c r="I7" i="5"/>
  <c r="H7" i="5"/>
  <c r="G7" i="5"/>
  <c r="K6" i="5"/>
  <c r="J6" i="5"/>
  <c r="I6" i="5"/>
  <c r="H6" i="5"/>
  <c r="G6" i="5"/>
  <c r="K5" i="5"/>
  <c r="J5" i="5"/>
  <c r="I5" i="5"/>
  <c r="H5" i="5"/>
  <c r="G5" i="5"/>
  <c r="K4" i="5"/>
  <c r="J4" i="5"/>
  <c r="I4" i="5"/>
  <c r="H4" i="5"/>
  <c r="G4" i="5"/>
  <c r="K3" i="5"/>
  <c r="J3" i="5"/>
  <c r="I3" i="5"/>
  <c r="H3" i="5"/>
  <c r="G3" i="5"/>
  <c r="K2" i="5"/>
  <c r="J2" i="5"/>
  <c r="I2" i="5"/>
  <c r="H2" i="5"/>
  <c r="G2" i="5"/>
  <c r="I3" i="4"/>
  <c r="I4" i="4"/>
  <c r="I5" i="4"/>
  <c r="I6" i="4"/>
  <c r="I7" i="4"/>
  <c r="I2" i="4"/>
  <c r="K7" i="4"/>
  <c r="J7" i="4"/>
  <c r="H7" i="4"/>
  <c r="G7" i="4"/>
  <c r="K6" i="4"/>
  <c r="J6" i="4"/>
  <c r="H6" i="4"/>
  <c r="G6" i="4"/>
  <c r="K5" i="4"/>
  <c r="J5" i="4"/>
  <c r="H5" i="4"/>
  <c r="G5" i="4"/>
  <c r="K4" i="4"/>
  <c r="J4" i="4"/>
  <c r="H4" i="4"/>
  <c r="G4" i="4"/>
  <c r="K3" i="4"/>
  <c r="J3" i="4"/>
  <c r="H3" i="4"/>
  <c r="G3" i="4"/>
  <c r="K2" i="4"/>
  <c r="J2" i="4"/>
  <c r="H2" i="4"/>
  <c r="G2" i="4"/>
  <c r="F2" i="2" l="1"/>
  <c r="F3" i="2"/>
  <c r="F4" i="2"/>
  <c r="F5" i="2"/>
  <c r="I7" i="2"/>
  <c r="H7" i="2"/>
  <c r="G7" i="2"/>
  <c r="F7" i="2"/>
  <c r="I6" i="2"/>
  <c r="H6" i="2"/>
  <c r="G6" i="2"/>
  <c r="F6" i="2"/>
  <c r="I5" i="2"/>
  <c r="H5" i="2"/>
  <c r="G5" i="2"/>
  <c r="I4" i="2"/>
  <c r="H4" i="2"/>
  <c r="G4" i="2"/>
  <c r="I3" i="2"/>
  <c r="H3" i="2"/>
  <c r="G3" i="2"/>
  <c r="I2" i="2"/>
  <c r="H2" i="2"/>
  <c r="G2" i="2"/>
  <c r="G8" i="1" l="1"/>
  <c r="H8" i="1"/>
  <c r="I8" i="1"/>
  <c r="J8" i="1"/>
  <c r="G7" i="1" l="1"/>
  <c r="G3" i="1"/>
  <c r="G4" i="1"/>
  <c r="G5" i="1"/>
  <c r="G6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2" i="1"/>
</calcChain>
</file>

<file path=xl/sharedStrings.xml><?xml version="1.0" encoding="utf-8"?>
<sst xmlns="http://schemas.openxmlformats.org/spreadsheetml/2006/main" count="51" uniqueCount="18">
  <si>
    <t>Node Size</t>
  </si>
  <si>
    <t>LP Upper Bound</t>
  </si>
  <si>
    <t>MIP Avg Reward</t>
  </si>
  <si>
    <t>DRL Avg Reward</t>
  </si>
  <si>
    <t>2Opt Avg Reward</t>
  </si>
  <si>
    <t>Greedy Heuristic Avg Reward</t>
  </si>
  <si>
    <t>MIP Error</t>
  </si>
  <si>
    <t>DRL Error</t>
  </si>
  <si>
    <t>Greedy Error</t>
  </si>
  <si>
    <t>2Opt Error</t>
  </si>
  <si>
    <t>LNS-GA Error</t>
  </si>
  <si>
    <t>Greedy Avg Reward</t>
  </si>
  <si>
    <t>MIP Inference TIme</t>
  </si>
  <si>
    <t>DRL Inference Time</t>
  </si>
  <si>
    <t>Greedy Inference Time</t>
  </si>
  <si>
    <t>2Opt Inference Time</t>
  </si>
  <si>
    <t>LNS - GA Inference Time</t>
  </si>
  <si>
    <t>LNS - GA Avg 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</si>
</sst>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Reward</a:t>
            </a:r>
            <a:r>
              <a:rPr lang="es-CO" baseline="0"/>
              <a:t> Performance per Node Size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LP Upper Bound</c:v>
                </c:pt>
                <c:pt idx="1">
                  <c:v>MIP Avg Reward</c:v>
                </c:pt>
                <c:pt idx="2">
                  <c:v>DRL Avg Reward</c:v>
                </c:pt>
                <c:pt idx="3">
                  <c:v>Greedy Heuristic Avg Reward</c:v>
                </c:pt>
                <c:pt idx="4">
                  <c:v>2Opt Avg Reward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2304.8465902299999</c:v>
                </c:pt>
                <c:pt idx="1">
                  <c:v>1449</c:v>
                </c:pt>
                <c:pt idx="2">
                  <c:v>1403.2</c:v>
                </c:pt>
                <c:pt idx="3">
                  <c:v>1022.2</c:v>
                </c:pt>
                <c:pt idx="4">
                  <c:v>1112.8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1-4569-84ED-6E448208DA8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LP Upper Bound</c:v>
                </c:pt>
                <c:pt idx="1">
                  <c:v>MIP Avg Reward</c:v>
                </c:pt>
                <c:pt idx="2">
                  <c:v>DRL Avg Reward</c:v>
                </c:pt>
                <c:pt idx="3">
                  <c:v>Greedy Heuristic Avg Reward</c:v>
                </c:pt>
                <c:pt idx="4">
                  <c:v>2Opt Avg Reward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4162.2426601591997</c:v>
                </c:pt>
                <c:pt idx="1">
                  <c:v>3035.4</c:v>
                </c:pt>
                <c:pt idx="2">
                  <c:v>2748.375</c:v>
                </c:pt>
                <c:pt idx="3">
                  <c:v>1426.2</c:v>
                </c:pt>
                <c:pt idx="4">
                  <c:v>1574.2666666666671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1-4569-84ED-6E448208DA8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LP Upper Bound</c:v>
                </c:pt>
                <c:pt idx="1">
                  <c:v>MIP Avg Reward</c:v>
                </c:pt>
                <c:pt idx="2">
                  <c:v>DRL Avg Reward</c:v>
                </c:pt>
                <c:pt idx="3">
                  <c:v>Greedy Heuristic Avg Reward</c:v>
                </c:pt>
                <c:pt idx="4">
                  <c:v>2Opt Avg Reward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4171.7155534059002</c:v>
                </c:pt>
                <c:pt idx="1">
                  <c:v>2969.15</c:v>
                </c:pt>
                <c:pt idx="2">
                  <c:v>2616.125</c:v>
                </c:pt>
                <c:pt idx="3">
                  <c:v>1134.95</c:v>
                </c:pt>
                <c:pt idx="4">
                  <c:v>1154.8499999999999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1-4569-84ED-6E448208DA8A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LP Upper Bound</c:v>
                </c:pt>
                <c:pt idx="1">
                  <c:v>MIP Avg Reward</c:v>
                </c:pt>
                <c:pt idx="2">
                  <c:v>DRL Avg Reward</c:v>
                </c:pt>
                <c:pt idx="3">
                  <c:v>Greedy Heuristic Avg Reward</c:v>
                </c:pt>
                <c:pt idx="4">
                  <c:v>2Opt Avg Reward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4481.6106945229603</c:v>
                </c:pt>
                <c:pt idx="1">
                  <c:v>2850.88</c:v>
                </c:pt>
                <c:pt idx="2">
                  <c:v>2536.4444444444439</c:v>
                </c:pt>
                <c:pt idx="3">
                  <c:v>999.56</c:v>
                </c:pt>
                <c:pt idx="4">
                  <c:v>1024.52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B1-4569-84ED-6E448208DA8A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LP Upper Bound</c:v>
                </c:pt>
                <c:pt idx="1">
                  <c:v>MIP Avg Reward</c:v>
                </c:pt>
                <c:pt idx="2">
                  <c:v>DRL Avg Reward</c:v>
                </c:pt>
                <c:pt idx="3">
                  <c:v>Greedy Heuristic Avg Reward</c:v>
                </c:pt>
                <c:pt idx="4">
                  <c:v>2Opt Avg Reward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6824.4742492383339</c:v>
                </c:pt>
                <c:pt idx="1">
                  <c:v>5299.8666666666668</c:v>
                </c:pt>
                <c:pt idx="2">
                  <c:v>4593.3636363636397</c:v>
                </c:pt>
                <c:pt idx="3">
                  <c:v>2467.0666666666671</c:v>
                </c:pt>
                <c:pt idx="4">
                  <c:v>2503.3000000000002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D-4845-806E-536CE1650C27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LP Upper Bound</c:v>
                </c:pt>
                <c:pt idx="1">
                  <c:v>MIP Avg Reward</c:v>
                </c:pt>
                <c:pt idx="2">
                  <c:v>DRL Avg Reward</c:v>
                </c:pt>
                <c:pt idx="3">
                  <c:v>Greedy Heuristic Avg Reward</c:v>
                </c:pt>
                <c:pt idx="4">
                  <c:v>2Opt Avg Reward</c:v>
                </c:pt>
              </c:strCache>
            </c:strRef>
          </c:cat>
          <c:val>
            <c:numRef>
              <c:f>Sheet1!$B$7:$F$7</c:f>
              <c:numCache>
                <c:formatCode>General</c:formatCode>
                <c:ptCount val="5"/>
                <c:pt idx="0">
                  <c:v>8418.9840838311011</c:v>
                </c:pt>
                <c:pt idx="1">
                  <c:v>7162.65</c:v>
                </c:pt>
                <c:pt idx="2">
                  <c:v>6270.3253999999997</c:v>
                </c:pt>
                <c:pt idx="3">
                  <c:v>3811.4749999999999</c:v>
                </c:pt>
                <c:pt idx="4">
                  <c:v>3883.7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D-4845-806E-536CE1650C27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LP Upper Bound</c:v>
                </c:pt>
                <c:pt idx="1">
                  <c:v>MIP Avg Reward</c:v>
                </c:pt>
                <c:pt idx="2">
                  <c:v>DRL Avg Reward</c:v>
                </c:pt>
                <c:pt idx="3">
                  <c:v>Greedy Heuristic Avg Reward</c:v>
                </c:pt>
                <c:pt idx="4">
                  <c:v>2Opt Avg Reward</c:v>
                </c:pt>
              </c:strCache>
            </c:strRef>
          </c:cat>
          <c:val>
            <c:numRef>
              <c:f>Sheet1!$B$8:$F$8</c:f>
              <c:numCache>
                <c:formatCode>General</c:formatCode>
                <c:ptCount val="5"/>
                <c:pt idx="0">
                  <c:v>8868.857</c:v>
                </c:pt>
                <c:pt idx="1">
                  <c:v>7481.4</c:v>
                </c:pt>
                <c:pt idx="2">
                  <c:v>6429.2142857142899</c:v>
                </c:pt>
                <c:pt idx="3">
                  <c:v>4199.1555555555551</c:v>
                </c:pt>
                <c:pt idx="4">
                  <c:v>4212.0888888888894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8-464F-BC83-89497A1DF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400"/>
        <c:axId val="512343088"/>
      </c:barChart>
      <c:catAx>
        <c:axId val="5123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Solution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3088"/>
        <c:crosses val="autoZero"/>
        <c:auto val="1"/>
        <c:lblAlgn val="ctr"/>
        <c:lblOffset val="100"/>
        <c:noMultiLvlLbl val="0"/>
      </c:catAx>
      <c:valAx>
        <c:axId val="512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Average 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Model Error % per Node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Sheet1!$G$1:$J$1</c:f>
              <c:strCache>
                <c:ptCount val="4"/>
                <c:pt idx="0">
                  <c:v>MIP Error</c:v>
                </c:pt>
                <c:pt idx="1">
                  <c:v>DRL Error</c:v>
                </c:pt>
                <c:pt idx="2">
                  <c:v>Greedy Error</c:v>
                </c:pt>
                <c:pt idx="3">
                  <c:v>2Opt Error</c:v>
                </c:pt>
              </c:strCache>
            </c:strRef>
          </c:cat>
          <c:val>
            <c:numRef>
              <c:f>Sheet1!$G$2:$J$2</c:f>
              <c:numCache>
                <c:formatCode>0.00%</c:formatCode>
                <c:ptCount val="4"/>
                <c:pt idx="0">
                  <c:v>0</c:v>
                </c:pt>
                <c:pt idx="1">
                  <c:v>3.1608005521048969E-2</c:v>
                </c:pt>
                <c:pt idx="2">
                  <c:v>0.29454796411318146</c:v>
                </c:pt>
                <c:pt idx="3">
                  <c:v>0.23202208419599726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E-40F6-8359-46CE2E1D6E24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Sheet1!$G$1:$J$1</c:f>
              <c:strCache>
                <c:ptCount val="4"/>
                <c:pt idx="0">
                  <c:v>MIP Error</c:v>
                </c:pt>
                <c:pt idx="1">
                  <c:v>DRL Error</c:v>
                </c:pt>
                <c:pt idx="2">
                  <c:v>Greedy Error</c:v>
                </c:pt>
                <c:pt idx="3">
                  <c:v>2Opt Error</c:v>
                </c:pt>
              </c:strCache>
            </c:strRef>
          </c:cat>
          <c:val>
            <c:numRef>
              <c:f>Sheet1!$G$3:$J$3</c:f>
              <c:numCache>
                <c:formatCode>0.00%</c:formatCode>
                <c:ptCount val="4"/>
                <c:pt idx="0">
                  <c:v>0</c:v>
                </c:pt>
                <c:pt idx="1">
                  <c:v>9.4559201423206188E-2</c:v>
                </c:pt>
                <c:pt idx="2">
                  <c:v>0.53014429729195489</c:v>
                </c:pt>
                <c:pt idx="3">
                  <c:v>0.48136434517142151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E-40F6-8359-46CE2E1D6E24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Sheet1!$G$1:$J$1</c:f>
              <c:strCache>
                <c:ptCount val="4"/>
                <c:pt idx="0">
                  <c:v>MIP Error</c:v>
                </c:pt>
                <c:pt idx="1">
                  <c:v>DRL Error</c:v>
                </c:pt>
                <c:pt idx="2">
                  <c:v>Greedy Error</c:v>
                </c:pt>
                <c:pt idx="3">
                  <c:v>2Opt Error</c:v>
                </c:pt>
              </c:strCache>
            </c:strRef>
          </c:cat>
          <c:val>
            <c:numRef>
              <c:f>Sheet1!$G$4:$J$4</c:f>
              <c:numCache>
                <c:formatCode>0.00%</c:formatCode>
                <c:ptCount val="4"/>
                <c:pt idx="0">
                  <c:v>0</c:v>
                </c:pt>
                <c:pt idx="1">
                  <c:v>0.11889766431470289</c:v>
                </c:pt>
                <c:pt idx="2">
                  <c:v>0.61775255544516106</c:v>
                </c:pt>
                <c:pt idx="3">
                  <c:v>0.61105030059107834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EE-40F6-8359-46CE2E1D6E24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Sheet1!$G$1:$J$1</c:f>
              <c:strCache>
                <c:ptCount val="4"/>
                <c:pt idx="0">
                  <c:v>MIP Error</c:v>
                </c:pt>
                <c:pt idx="1">
                  <c:v>DRL Error</c:v>
                </c:pt>
                <c:pt idx="2">
                  <c:v>Greedy Error</c:v>
                </c:pt>
                <c:pt idx="3">
                  <c:v>2Opt Error</c:v>
                </c:pt>
              </c:strCache>
            </c:strRef>
          </c:cat>
          <c:val>
            <c:numRef>
              <c:f>Sheet1!$G$5:$J$5</c:f>
              <c:numCache>
                <c:formatCode>0.00%</c:formatCode>
                <c:ptCount val="4"/>
                <c:pt idx="0">
                  <c:v>0</c:v>
                </c:pt>
                <c:pt idx="1">
                  <c:v>0.11029420935134282</c:v>
                </c:pt>
                <c:pt idx="2">
                  <c:v>0.64938545291278482</c:v>
                </c:pt>
                <c:pt idx="3">
                  <c:v>0.64063026153328095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EE-40F6-8359-46CE2E1D6E24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Sheet1!$G$1:$J$1</c:f>
              <c:strCache>
                <c:ptCount val="4"/>
                <c:pt idx="0">
                  <c:v>MIP Error</c:v>
                </c:pt>
                <c:pt idx="1">
                  <c:v>DRL Error</c:v>
                </c:pt>
                <c:pt idx="2">
                  <c:v>Greedy Error</c:v>
                </c:pt>
                <c:pt idx="3">
                  <c:v>2Opt Error</c:v>
                </c:pt>
              </c:strCache>
            </c:strRef>
          </c:cat>
          <c:val>
            <c:numRef>
              <c:f>Sheet1!$G$6:$J$6</c:f>
              <c:numCache>
                <c:formatCode>0.00%</c:formatCode>
                <c:ptCount val="4"/>
                <c:pt idx="0">
                  <c:v>0</c:v>
                </c:pt>
                <c:pt idx="1">
                  <c:v>0.13330581215307816</c:v>
                </c:pt>
                <c:pt idx="2">
                  <c:v>0.53450401267956416</c:v>
                </c:pt>
                <c:pt idx="3">
                  <c:v>0.52766736270094838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A-43BB-BF2F-E8136775EBAB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Sheet1!$G$1:$J$1</c:f>
              <c:strCache>
                <c:ptCount val="4"/>
                <c:pt idx="0">
                  <c:v>MIP Error</c:v>
                </c:pt>
                <c:pt idx="1">
                  <c:v>DRL Error</c:v>
                </c:pt>
                <c:pt idx="2">
                  <c:v>Greedy Error</c:v>
                </c:pt>
                <c:pt idx="3">
                  <c:v>2Opt Error</c:v>
                </c:pt>
              </c:strCache>
            </c:strRef>
          </c:cat>
          <c:val>
            <c:numRef>
              <c:f>Sheet1!$G$7:$J$7</c:f>
              <c:numCache>
                <c:formatCode>0.00%</c:formatCode>
                <c:ptCount val="4"/>
                <c:pt idx="0">
                  <c:v>0</c:v>
                </c:pt>
                <c:pt idx="1">
                  <c:v>0.12458023217663854</c:v>
                </c:pt>
                <c:pt idx="2">
                  <c:v>0.46786803766762303</c:v>
                </c:pt>
                <c:pt idx="3">
                  <c:v>0.45778447920811433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A-43BB-BF2F-E8136775EBAB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Sheet1!$G$1:$J$1</c:f>
              <c:strCache>
                <c:ptCount val="4"/>
                <c:pt idx="0">
                  <c:v>MIP Error</c:v>
                </c:pt>
                <c:pt idx="1">
                  <c:v>DRL Error</c:v>
                </c:pt>
                <c:pt idx="2">
                  <c:v>Greedy Error</c:v>
                </c:pt>
                <c:pt idx="3">
                  <c:v>2Opt Error</c:v>
                </c:pt>
              </c:strCache>
            </c:strRef>
          </c:cat>
          <c:val>
            <c:numRef>
              <c:f>Sheet1!$G$8:$J$8</c:f>
              <c:numCache>
                <c:formatCode>0.00%</c:formatCode>
                <c:ptCount val="4"/>
                <c:pt idx="0">
                  <c:v>0</c:v>
                </c:pt>
                <c:pt idx="1">
                  <c:v>0.14064021630787149</c:v>
                </c:pt>
                <c:pt idx="2">
                  <c:v>0.43872061972952187</c:v>
                </c:pt>
                <c:pt idx="3">
                  <c:v>0.43699188803046363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9-4531-96F1-166C85713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400"/>
        <c:axId val="512343088"/>
      </c:barChart>
      <c:catAx>
        <c:axId val="5123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Solution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3088"/>
        <c:crosses val="autoZero"/>
        <c:auto val="1"/>
        <c:lblAlgn val="ctr"/>
        <c:lblOffset val="100"/>
        <c:noMultiLvlLbl val="0"/>
      </c:catAx>
      <c:valAx>
        <c:axId val="512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Average 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Reward</a:t>
            </a:r>
            <a:r>
              <a:rPr lang="es-CO" baseline="0"/>
              <a:t> Performance </a:t>
            </a:r>
            <a:endParaRPr lang="es-CO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'Nuevos Resultados'!$A$2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'Nuevos Resultados'!$B$1:$E$1</c:f>
              <c:strCache>
                <c:ptCount val="4"/>
                <c:pt idx="0">
                  <c:v>MIP Avg Reward</c:v>
                </c:pt>
                <c:pt idx="1">
                  <c:v>DRL Avg Reward</c:v>
                </c:pt>
                <c:pt idx="2">
                  <c:v>Greedy Heuristic Avg Reward</c:v>
                </c:pt>
                <c:pt idx="3">
                  <c:v>2Opt Avg Reward</c:v>
                </c:pt>
              </c:strCache>
            </c:strRef>
          </c:cat>
          <c:val>
            <c:numRef>
              <c:f>'Nuevos Resultados'!$B$2:$E$2</c:f>
              <c:numCache>
                <c:formatCode>General</c:formatCode>
                <c:ptCount val="4"/>
                <c:pt idx="0">
                  <c:v>446.2</c:v>
                </c:pt>
                <c:pt idx="1">
                  <c:v>422.57</c:v>
                </c:pt>
                <c:pt idx="2">
                  <c:v>402.2</c:v>
                </c:pt>
                <c:pt idx="3">
                  <c:v>402.8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8-446E-99EA-B2D0BB0035D0}"/>
            </c:ext>
          </c:extLst>
        </c:ser>
        <c:ser>
          <c:idx val="1"/>
          <c:order val="1"/>
          <c:tx>
            <c:strRef>
              <c:f>'Nuevos Resultados'!$A$3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'Nuevos Resultados'!$B$1:$E$1</c:f>
              <c:strCache>
                <c:ptCount val="4"/>
                <c:pt idx="0">
                  <c:v>MIP Avg Reward</c:v>
                </c:pt>
                <c:pt idx="1">
                  <c:v>DRL Avg Reward</c:v>
                </c:pt>
                <c:pt idx="2">
                  <c:v>Greedy Heuristic Avg Reward</c:v>
                </c:pt>
                <c:pt idx="3">
                  <c:v>2Opt Avg Reward</c:v>
                </c:pt>
              </c:strCache>
            </c:strRef>
          </c:cat>
          <c:val>
            <c:numRef>
              <c:f>'Nuevos Resultados'!$B$3:$E$3</c:f>
              <c:numCache>
                <c:formatCode>General</c:formatCode>
                <c:ptCount val="4"/>
                <c:pt idx="0">
                  <c:v>2017.133333333333</c:v>
                </c:pt>
                <c:pt idx="1">
                  <c:v>1953.33</c:v>
                </c:pt>
                <c:pt idx="2">
                  <c:v>1542.2</c:v>
                </c:pt>
                <c:pt idx="3">
                  <c:v>1450.6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8-446E-99EA-B2D0BB0035D0}"/>
            </c:ext>
          </c:extLst>
        </c:ser>
        <c:ser>
          <c:idx val="2"/>
          <c:order val="2"/>
          <c:tx>
            <c:strRef>
              <c:f>'Nuevos Resultados'!$A$4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'Nuevos Resultados'!$B$1:$E$1</c:f>
              <c:strCache>
                <c:ptCount val="4"/>
                <c:pt idx="0">
                  <c:v>MIP Avg Reward</c:v>
                </c:pt>
                <c:pt idx="1">
                  <c:v>DRL Avg Reward</c:v>
                </c:pt>
                <c:pt idx="2">
                  <c:v>Greedy Heuristic Avg Reward</c:v>
                </c:pt>
                <c:pt idx="3">
                  <c:v>2Opt Avg Reward</c:v>
                </c:pt>
              </c:strCache>
            </c:strRef>
          </c:cat>
          <c:val>
            <c:numRef>
              <c:f>'Nuevos Resultados'!$B$4:$E$4</c:f>
              <c:numCache>
                <c:formatCode>General</c:formatCode>
                <c:ptCount val="4"/>
                <c:pt idx="0">
                  <c:v>2130.6</c:v>
                </c:pt>
                <c:pt idx="1">
                  <c:v>1958.27</c:v>
                </c:pt>
                <c:pt idx="2">
                  <c:v>1204.545454545455</c:v>
                </c:pt>
                <c:pt idx="3">
                  <c:v>1228.909090909091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8-446E-99EA-B2D0BB0035D0}"/>
            </c:ext>
          </c:extLst>
        </c:ser>
        <c:ser>
          <c:idx val="3"/>
          <c:order val="3"/>
          <c:tx>
            <c:strRef>
              <c:f>'Nuevos Resultados'!$A$5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'Nuevos Resultados'!$B$1:$E$1</c:f>
              <c:strCache>
                <c:ptCount val="4"/>
                <c:pt idx="0">
                  <c:v>MIP Avg Reward</c:v>
                </c:pt>
                <c:pt idx="1">
                  <c:v>DRL Avg Reward</c:v>
                </c:pt>
                <c:pt idx="2">
                  <c:v>Greedy Heuristic Avg Reward</c:v>
                </c:pt>
                <c:pt idx="3">
                  <c:v>2Opt Avg Reward</c:v>
                </c:pt>
              </c:strCache>
            </c:strRef>
          </c:cat>
          <c:val>
            <c:numRef>
              <c:f>'Nuevos Resultados'!$B$5:$E$5</c:f>
              <c:numCache>
                <c:formatCode>General</c:formatCode>
                <c:ptCount val="4"/>
                <c:pt idx="0">
                  <c:v>2206.5</c:v>
                </c:pt>
                <c:pt idx="1">
                  <c:v>2144.5172299999999</c:v>
                </c:pt>
                <c:pt idx="2">
                  <c:v>1655.6777777</c:v>
                </c:pt>
                <c:pt idx="3">
                  <c:v>1661.9511500000001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58-446E-99EA-B2D0BB0035D0}"/>
            </c:ext>
          </c:extLst>
        </c:ser>
        <c:ser>
          <c:idx val="4"/>
          <c:order val="4"/>
          <c:tx>
            <c:strRef>
              <c:f>'Nuevos Resultados'!$A$6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'Nuevos Resultados'!$B$1:$E$1</c:f>
              <c:strCache>
                <c:ptCount val="4"/>
                <c:pt idx="0">
                  <c:v>MIP Avg Reward</c:v>
                </c:pt>
                <c:pt idx="1">
                  <c:v>DRL Avg Reward</c:v>
                </c:pt>
                <c:pt idx="2">
                  <c:v>Greedy Heuristic Avg Reward</c:v>
                </c:pt>
                <c:pt idx="3">
                  <c:v>2Opt Avg Reward</c:v>
                </c:pt>
              </c:strCache>
            </c:strRef>
          </c:cat>
          <c:val>
            <c:numRef>
              <c:f>'Nuevos Resultados'!$B$6:$E$6</c:f>
              <c:numCache>
                <c:formatCode>General</c:formatCode>
                <c:ptCount val="4"/>
                <c:pt idx="0">
                  <c:v>4242.9333333333334</c:v>
                </c:pt>
                <c:pt idx="1">
                  <c:v>3970.1785714285702</c:v>
                </c:pt>
                <c:pt idx="2">
                  <c:v>2023.1111111111111</c:v>
                </c:pt>
                <c:pt idx="3">
                  <c:v>2079.5613211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58-446E-99EA-B2D0BB0035D0}"/>
            </c:ext>
          </c:extLst>
        </c:ser>
        <c:ser>
          <c:idx val="5"/>
          <c:order val="5"/>
          <c:tx>
            <c:strRef>
              <c:f>'Nuevos Resultados'!$A$7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'Nuevos Resultados'!$B$1:$E$1</c:f>
              <c:strCache>
                <c:ptCount val="4"/>
                <c:pt idx="0">
                  <c:v>MIP Avg Reward</c:v>
                </c:pt>
                <c:pt idx="1">
                  <c:v>DRL Avg Reward</c:v>
                </c:pt>
                <c:pt idx="2">
                  <c:v>Greedy Heuristic Avg Reward</c:v>
                </c:pt>
                <c:pt idx="3">
                  <c:v>2Opt Avg Reward</c:v>
                </c:pt>
              </c:strCache>
            </c:strRef>
          </c:cat>
          <c:val>
            <c:numRef>
              <c:f>'Nuevos Resultados'!$B$7:$E$7</c:f>
              <c:numCache>
                <c:formatCode>General</c:formatCode>
                <c:ptCount val="4"/>
                <c:pt idx="0">
                  <c:v>4521.3249999999998</c:v>
                </c:pt>
                <c:pt idx="1">
                  <c:v>4309.0540540540496</c:v>
                </c:pt>
                <c:pt idx="2">
                  <c:v>3249.36666666667</c:v>
                </c:pt>
                <c:pt idx="3">
                  <c:v>3332.36666666667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58-446E-99EA-B2D0BB0035D0}"/>
            </c:ext>
          </c:extLst>
        </c:ser>
        <c:ser>
          <c:idx val="6"/>
          <c:order val="6"/>
          <c:tx>
            <c:strRef>
              <c:f>'Nuevos Resultados'!#REF!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'Nuevos Resultados'!$B$1:$E$1</c:f>
              <c:strCache>
                <c:ptCount val="4"/>
                <c:pt idx="0">
                  <c:v>MIP Avg Reward</c:v>
                </c:pt>
                <c:pt idx="1">
                  <c:v>DRL Avg Reward</c:v>
                </c:pt>
                <c:pt idx="2">
                  <c:v>Greedy Heuristic Avg Reward</c:v>
                </c:pt>
                <c:pt idx="3">
                  <c:v>2Opt Avg Reward</c:v>
                </c:pt>
              </c:strCache>
            </c:strRef>
          </c:cat>
          <c:val>
            <c:numRef>
              <c:f>'Nuevos Resultados'!#REF!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58-446E-99EA-B2D0BB00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400"/>
        <c:axId val="512343088"/>
      </c:barChart>
      <c:catAx>
        <c:axId val="5123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Solution Method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3088"/>
        <c:crosses val="autoZero"/>
        <c:auto val="1"/>
        <c:lblAlgn val="ctr"/>
        <c:lblOffset val="100"/>
        <c:noMultiLvlLbl val="0"/>
      </c:catAx>
      <c:valAx>
        <c:axId val="512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Average Reward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Model Error 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'Nuevos Resultados'!$A$2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'Nuevos Resultados'!$G$1:$I$1</c:f>
              <c:strCache>
                <c:ptCount val="3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</c:strCache>
            </c:strRef>
          </c:cat>
          <c:val>
            <c:numRef>
              <c:f>'Nuevos Resultados'!$G$2:$I$2</c:f>
              <c:numCache>
                <c:formatCode>0.00%</c:formatCode>
                <c:ptCount val="3"/>
                <c:pt idx="0">
                  <c:v>5.2958314657104426E-2</c:v>
                </c:pt>
                <c:pt idx="1">
                  <c:v>9.8610488570147925E-2</c:v>
                </c:pt>
                <c:pt idx="2">
                  <c:v>9.7265800089645846E-2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D-4567-8F34-FB60D83321AE}"/>
            </c:ext>
          </c:extLst>
        </c:ser>
        <c:ser>
          <c:idx val="1"/>
          <c:order val="1"/>
          <c:tx>
            <c:strRef>
              <c:f>'Nuevos Resultados'!$A$3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'Nuevos Resultados'!$G$1:$I$1</c:f>
              <c:strCache>
                <c:ptCount val="3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</c:strCache>
            </c:strRef>
          </c:cat>
          <c:val>
            <c:numRef>
              <c:f>'Nuevos Resultados'!$G$3:$I$3</c:f>
              <c:numCache>
                <c:formatCode>0.00%</c:formatCode>
                <c:ptCount val="3"/>
                <c:pt idx="0">
                  <c:v>3.1630697028786597E-2</c:v>
                </c:pt>
                <c:pt idx="1">
                  <c:v>0.23544964801533513</c:v>
                </c:pt>
                <c:pt idx="2">
                  <c:v>0.28086062729285777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D-4567-8F34-FB60D83321AE}"/>
            </c:ext>
          </c:extLst>
        </c:ser>
        <c:ser>
          <c:idx val="2"/>
          <c:order val="2"/>
          <c:tx>
            <c:strRef>
              <c:f>'Nuevos Resultados'!$A$4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'Nuevos Resultados'!$G$1:$I$1</c:f>
              <c:strCache>
                <c:ptCount val="3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</c:strCache>
            </c:strRef>
          </c:cat>
          <c:val>
            <c:numRef>
              <c:f>'Nuevos Resultados'!$G$4:$I$4</c:f>
              <c:numCache>
                <c:formatCode>0.00%</c:formatCode>
                <c:ptCount val="3"/>
                <c:pt idx="0">
                  <c:v>8.0883319252792615E-2</c:v>
                </c:pt>
                <c:pt idx="1">
                  <c:v>0.43464495703301653</c:v>
                </c:pt>
                <c:pt idx="2">
                  <c:v>0.42320985125828825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D-4567-8F34-FB60D83321AE}"/>
            </c:ext>
          </c:extLst>
        </c:ser>
        <c:ser>
          <c:idx val="3"/>
          <c:order val="3"/>
          <c:tx>
            <c:strRef>
              <c:f>'Nuevos Resultados'!$A$5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'Nuevos Resultados'!$G$1:$I$1</c:f>
              <c:strCache>
                <c:ptCount val="3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</c:strCache>
            </c:strRef>
          </c:cat>
          <c:val>
            <c:numRef>
              <c:f>'Nuevos Resultados'!$G$5:$I$5</c:f>
              <c:numCache>
                <c:formatCode>0.00%</c:formatCode>
                <c:ptCount val="3"/>
                <c:pt idx="0">
                  <c:v>2.8090990256061668E-2</c:v>
                </c:pt>
                <c:pt idx="1">
                  <c:v>0.24963617598005894</c:v>
                </c:pt>
                <c:pt idx="2">
                  <c:v>0.24679304328121454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D-4567-8F34-FB60D83321AE}"/>
            </c:ext>
          </c:extLst>
        </c:ser>
        <c:ser>
          <c:idx val="4"/>
          <c:order val="4"/>
          <c:tx>
            <c:strRef>
              <c:f>'Nuevos Resultados'!$A$6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'Nuevos Resultados'!$G$1:$I$1</c:f>
              <c:strCache>
                <c:ptCount val="3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</c:strCache>
            </c:strRef>
          </c:cat>
          <c:val>
            <c:numRef>
              <c:f>'Nuevos Resultados'!$G$6:$I$6</c:f>
              <c:numCache>
                <c:formatCode>0.00%</c:formatCode>
                <c:ptCount val="3"/>
                <c:pt idx="0">
                  <c:v>6.4284479739982525E-2</c:v>
                </c:pt>
                <c:pt idx="1">
                  <c:v>0.52318102780047337</c:v>
                </c:pt>
                <c:pt idx="2">
                  <c:v>0.50987650341744706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D-4567-8F34-FB60D83321AE}"/>
            </c:ext>
          </c:extLst>
        </c:ser>
        <c:ser>
          <c:idx val="5"/>
          <c:order val="5"/>
          <c:tx>
            <c:strRef>
              <c:f>'Nuevos Resultados'!$A$7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'Nuevos Resultados'!$G$1:$I$1</c:f>
              <c:strCache>
                <c:ptCount val="3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</c:strCache>
            </c:strRef>
          </c:cat>
          <c:val>
            <c:numRef>
              <c:f>'Nuevos Resultados'!$G$7:$I$7</c:f>
              <c:numCache>
                <c:formatCode>0.00%</c:formatCode>
                <c:ptCount val="3"/>
                <c:pt idx="0">
                  <c:v>4.6948836004036473E-2</c:v>
                </c:pt>
                <c:pt idx="1">
                  <c:v>0.28132424307771059</c:v>
                </c:pt>
                <c:pt idx="2">
                  <c:v>0.26296679255159272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3D-4567-8F34-FB60D8332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400"/>
        <c:axId val="512343088"/>
      </c:barChart>
      <c:catAx>
        <c:axId val="5123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Solution Method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3088"/>
        <c:crosses val="autoZero"/>
        <c:auto val="1"/>
        <c:lblAlgn val="ctr"/>
        <c:lblOffset val="100"/>
        <c:noMultiLvlLbl val="0"/>
      </c:catAx>
      <c:valAx>
        <c:axId val="512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Average Reward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Reward</a:t>
            </a:r>
            <a:r>
              <a:rPr lang="es-CO" baseline="0"/>
              <a:t> Performance </a:t>
            </a:r>
            <a:endParaRPr lang="es-CO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ResultadosFinales!$A$2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ResultadosFinales!$B$1:$F$1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Greedy Avg Reward</c:v>
                </c:pt>
                <c:pt idx="3">
                  <c:v>2Opt Avg Reward</c:v>
                </c:pt>
                <c:pt idx="4">
                  <c:v>LNS - GA Avg Reward</c:v>
                </c:pt>
              </c:strCache>
            </c:strRef>
          </c:cat>
          <c:val>
            <c:numRef>
              <c:f>ResultadosFinales!$B$2:$F$2</c:f>
              <c:numCache>
                <c:formatCode>General</c:formatCode>
                <c:ptCount val="5"/>
                <c:pt idx="0">
                  <c:v>1292.8</c:v>
                </c:pt>
                <c:pt idx="1">
                  <c:v>1107</c:v>
                </c:pt>
                <c:pt idx="2">
                  <c:v>373.1</c:v>
                </c:pt>
                <c:pt idx="3">
                  <c:v>497.3</c:v>
                </c:pt>
                <c:pt idx="4">
                  <c:v>1157.2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E-4FD3-9076-D72BC82397BC}"/>
            </c:ext>
          </c:extLst>
        </c:ser>
        <c:ser>
          <c:idx val="1"/>
          <c:order val="1"/>
          <c:tx>
            <c:strRef>
              <c:f>ResultadosFinales!$A$3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ResultadosFinales!$B$1:$F$1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Greedy Avg Reward</c:v>
                </c:pt>
                <c:pt idx="3">
                  <c:v>2Opt Avg Reward</c:v>
                </c:pt>
                <c:pt idx="4">
                  <c:v>LNS - GA Avg Reward</c:v>
                </c:pt>
              </c:strCache>
            </c:strRef>
          </c:cat>
          <c:val>
            <c:numRef>
              <c:f>ResultadosFinales!$B$3:$F$3</c:f>
              <c:numCache>
                <c:formatCode>General</c:formatCode>
                <c:ptCount val="5"/>
                <c:pt idx="0">
                  <c:v>2356</c:v>
                </c:pt>
                <c:pt idx="1">
                  <c:v>1953.33</c:v>
                </c:pt>
                <c:pt idx="2">
                  <c:v>1019.666666666667</c:v>
                </c:pt>
                <c:pt idx="3">
                  <c:v>1061</c:v>
                </c:pt>
                <c:pt idx="4">
                  <c:v>2119.8000000000002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E-4FD3-9076-D72BC82397BC}"/>
            </c:ext>
          </c:extLst>
        </c:ser>
        <c:ser>
          <c:idx val="2"/>
          <c:order val="2"/>
          <c:tx>
            <c:strRef>
              <c:f>ResultadosFinales!$A$4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ResultadosFinales!$B$1:$F$1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Greedy Avg Reward</c:v>
                </c:pt>
                <c:pt idx="3">
                  <c:v>2Opt Avg Reward</c:v>
                </c:pt>
                <c:pt idx="4">
                  <c:v>LNS - GA Avg Reward</c:v>
                </c:pt>
              </c:strCache>
            </c:strRef>
          </c:cat>
          <c:val>
            <c:numRef>
              <c:f>ResultadosFinales!$B$4:$F$4</c:f>
              <c:numCache>
                <c:formatCode>General</c:formatCode>
                <c:ptCount val="5"/>
                <c:pt idx="0">
                  <c:v>2358.4</c:v>
                </c:pt>
                <c:pt idx="1">
                  <c:v>1958.27</c:v>
                </c:pt>
                <c:pt idx="2">
                  <c:v>895.2</c:v>
                </c:pt>
                <c:pt idx="3">
                  <c:v>926.2</c:v>
                </c:pt>
                <c:pt idx="4">
                  <c:v>2020.1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E-4FD3-9076-D72BC82397BC}"/>
            </c:ext>
          </c:extLst>
        </c:ser>
        <c:ser>
          <c:idx val="3"/>
          <c:order val="3"/>
          <c:tx>
            <c:strRef>
              <c:f>ResultadosFinales!$A$5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ResultadosFinales!$B$1:$F$1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Greedy Avg Reward</c:v>
                </c:pt>
                <c:pt idx="3">
                  <c:v>2Opt Avg Reward</c:v>
                </c:pt>
                <c:pt idx="4">
                  <c:v>LNS - GA Avg Reward</c:v>
                </c:pt>
              </c:strCache>
            </c:strRef>
          </c:cat>
          <c:val>
            <c:numRef>
              <c:f>ResultadosFinales!$B$5:$F$5</c:f>
              <c:numCache>
                <c:formatCode>General</c:formatCode>
                <c:ptCount val="5"/>
                <c:pt idx="0">
                  <c:v>2252.12</c:v>
                </c:pt>
                <c:pt idx="1">
                  <c:v>2144.5172299999999</c:v>
                </c:pt>
                <c:pt idx="2">
                  <c:v>692.08</c:v>
                </c:pt>
                <c:pt idx="3">
                  <c:v>788.56</c:v>
                </c:pt>
                <c:pt idx="4">
                  <c:v>2028.2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2E-4FD3-9076-D72BC82397BC}"/>
            </c:ext>
          </c:extLst>
        </c:ser>
        <c:ser>
          <c:idx val="4"/>
          <c:order val="4"/>
          <c:tx>
            <c:strRef>
              <c:f>ResultadosFinales!$A$6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ResultadosFinales!$B$1:$F$1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Greedy Avg Reward</c:v>
                </c:pt>
                <c:pt idx="3">
                  <c:v>2Opt Avg Reward</c:v>
                </c:pt>
                <c:pt idx="4">
                  <c:v>LNS - GA Avg Reward</c:v>
                </c:pt>
              </c:strCache>
            </c:strRef>
          </c:cat>
          <c:val>
            <c:numRef>
              <c:f>ResultadosFinales!$B$6:$F$6</c:f>
              <c:numCache>
                <c:formatCode>General</c:formatCode>
                <c:ptCount val="5"/>
                <c:pt idx="0">
                  <c:v>4290.4333333333334</c:v>
                </c:pt>
                <c:pt idx="1">
                  <c:v>3970.1785714285702</c:v>
                </c:pt>
                <c:pt idx="2">
                  <c:v>1470.4666666666669</c:v>
                </c:pt>
                <c:pt idx="3">
                  <c:v>1495.9666666666669</c:v>
                </c:pt>
                <c:pt idx="4">
                  <c:v>3429.5333333333328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2E-4FD3-9076-D72BC82397BC}"/>
            </c:ext>
          </c:extLst>
        </c:ser>
        <c:ser>
          <c:idx val="5"/>
          <c:order val="5"/>
          <c:tx>
            <c:strRef>
              <c:f>ResultadosFinales!$A$7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ResultadosFinales!$B$1:$F$1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Greedy Avg Reward</c:v>
                </c:pt>
                <c:pt idx="3">
                  <c:v>2Opt Avg Reward</c:v>
                </c:pt>
                <c:pt idx="4">
                  <c:v>LNS - GA Avg Reward</c:v>
                </c:pt>
              </c:strCache>
            </c:strRef>
          </c:cat>
          <c:val>
            <c:numRef>
              <c:f>ResultadosFinales!$B$7:$F$7</c:f>
              <c:numCache>
                <c:formatCode>General</c:formatCode>
                <c:ptCount val="5"/>
                <c:pt idx="0">
                  <c:v>4521.3249999999998</c:v>
                </c:pt>
                <c:pt idx="1">
                  <c:v>4309.0540540540496</c:v>
                </c:pt>
                <c:pt idx="3">
                  <c:v>3249.36666666667</c:v>
                </c:pt>
                <c:pt idx="4">
                  <c:v>3332.36666666667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2E-4FD3-9076-D72BC82397BC}"/>
            </c:ext>
          </c:extLst>
        </c:ser>
        <c:ser>
          <c:idx val="6"/>
          <c:order val="6"/>
          <c:tx>
            <c:strRef>
              <c:f>'Nuevos Resultados'!#REF!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ResultadosFinales!$B$1:$F$1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Greedy Avg Reward</c:v>
                </c:pt>
                <c:pt idx="3">
                  <c:v>2Opt Avg Reward</c:v>
                </c:pt>
                <c:pt idx="4">
                  <c:v>LNS - GA Avg Reward</c:v>
                </c:pt>
              </c:strCache>
            </c:strRef>
          </c:cat>
          <c:val>
            <c:numRef>
              <c:f>'Nuevos Resultados'!#REF!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2E-4FD3-9076-D72BC8239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400"/>
        <c:axId val="512343088"/>
      </c:barChart>
      <c:catAx>
        <c:axId val="5123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Solution Method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3088"/>
        <c:crosses val="autoZero"/>
        <c:auto val="1"/>
        <c:lblAlgn val="ctr"/>
        <c:lblOffset val="100"/>
        <c:noMultiLvlLbl val="0"/>
      </c:catAx>
      <c:valAx>
        <c:axId val="512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Average Reward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Model Error 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ResultadosFinales!$A$2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ResultadosFinales!$H$1:$K$1</c:f>
              <c:strCache>
                <c:ptCount val="4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  <c:pt idx="3">
                  <c:v>LNS-GA Error</c:v>
                </c:pt>
              </c:strCache>
            </c:strRef>
          </c:cat>
          <c:val>
            <c:numRef>
              <c:f>ResultadosFinales!$H$2:$K$2</c:f>
              <c:numCache>
                <c:formatCode>0.00%</c:formatCode>
                <c:ptCount val="4"/>
                <c:pt idx="0">
                  <c:v>0.14371905940594057</c:v>
                </c:pt>
                <c:pt idx="1">
                  <c:v>0.7114016089108911</c:v>
                </c:pt>
                <c:pt idx="2">
                  <c:v>0.6153310643564357</c:v>
                </c:pt>
                <c:pt idx="3">
                  <c:v>0.10488861386138607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6-4235-9F63-771C9221FB00}"/>
            </c:ext>
          </c:extLst>
        </c:ser>
        <c:ser>
          <c:idx val="1"/>
          <c:order val="1"/>
          <c:tx>
            <c:strRef>
              <c:f>ResultadosFinales!$A$3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ResultadosFinales!$H$1:$K$1</c:f>
              <c:strCache>
                <c:ptCount val="4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  <c:pt idx="3">
                  <c:v>LNS-GA Error</c:v>
                </c:pt>
              </c:strCache>
            </c:strRef>
          </c:cat>
          <c:val>
            <c:numRef>
              <c:f>ResultadosFinales!$H$3:$K$3</c:f>
              <c:numCache>
                <c:formatCode>0.00%</c:formatCode>
                <c:ptCount val="4"/>
                <c:pt idx="0">
                  <c:v>0.17091256366723262</c:v>
                </c:pt>
                <c:pt idx="1">
                  <c:v>0.56720430107526865</c:v>
                </c:pt>
                <c:pt idx="2">
                  <c:v>0.54966044142614601</c:v>
                </c:pt>
                <c:pt idx="3">
                  <c:v>0.10025466893039041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6-4235-9F63-771C9221FB00}"/>
            </c:ext>
          </c:extLst>
        </c:ser>
        <c:ser>
          <c:idx val="2"/>
          <c:order val="2"/>
          <c:tx>
            <c:strRef>
              <c:f>ResultadosFinales!$A$4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ResultadosFinales!$H$1:$K$1</c:f>
              <c:strCache>
                <c:ptCount val="4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  <c:pt idx="3">
                  <c:v>LNS-GA Error</c:v>
                </c:pt>
              </c:strCache>
            </c:strRef>
          </c:cat>
          <c:val>
            <c:numRef>
              <c:f>ResultadosFinales!$H$4:$K$4</c:f>
              <c:numCache>
                <c:formatCode>0.00%</c:formatCode>
                <c:ptCount val="4"/>
                <c:pt idx="0">
                  <c:v>0.1696616350067843</c:v>
                </c:pt>
                <c:pt idx="1">
                  <c:v>0.62042062415196741</c:v>
                </c:pt>
                <c:pt idx="2">
                  <c:v>0.60727611940298509</c:v>
                </c:pt>
                <c:pt idx="3">
                  <c:v>0.14344470827679789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E6-4235-9F63-771C9221FB00}"/>
            </c:ext>
          </c:extLst>
        </c:ser>
        <c:ser>
          <c:idx val="3"/>
          <c:order val="3"/>
          <c:tx>
            <c:strRef>
              <c:f>ResultadosFinales!$A$5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ResultadosFinales!$H$1:$K$1</c:f>
              <c:strCache>
                <c:ptCount val="4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  <c:pt idx="3">
                  <c:v>LNS-GA Error</c:v>
                </c:pt>
              </c:strCache>
            </c:strRef>
          </c:cat>
          <c:val>
            <c:numRef>
              <c:f>ResultadosFinales!$H$5:$K$5</c:f>
              <c:numCache>
                <c:formatCode>0.00%</c:formatCode>
                <c:ptCount val="4"/>
                <c:pt idx="0">
                  <c:v>4.7778435429728421E-2</c:v>
                </c:pt>
                <c:pt idx="1">
                  <c:v>0.69269843525211805</c:v>
                </c:pt>
                <c:pt idx="2">
                  <c:v>0.64985879970871885</c:v>
                </c:pt>
                <c:pt idx="3">
                  <c:v>9.9426318313411297E-2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E6-4235-9F63-771C9221FB00}"/>
            </c:ext>
          </c:extLst>
        </c:ser>
        <c:ser>
          <c:idx val="4"/>
          <c:order val="4"/>
          <c:tx>
            <c:strRef>
              <c:f>ResultadosFinales!$A$6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ResultadosFinales!$H$1:$K$1</c:f>
              <c:strCache>
                <c:ptCount val="4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  <c:pt idx="3">
                  <c:v>LNS-GA Error</c:v>
                </c:pt>
              </c:strCache>
            </c:strRef>
          </c:cat>
          <c:val>
            <c:numRef>
              <c:f>ResultadosFinales!$H$6:$K$6</c:f>
              <c:numCache>
                <c:formatCode>0.00%</c:formatCode>
                <c:ptCount val="4"/>
                <c:pt idx="0">
                  <c:v>7.4643919861574939E-2</c:v>
                </c:pt>
                <c:pt idx="1">
                  <c:v>0.65726849657765718</c:v>
                </c:pt>
                <c:pt idx="2">
                  <c:v>0.6513250409826512</c:v>
                </c:pt>
                <c:pt idx="3">
                  <c:v>0.20065572242120078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E6-4235-9F63-771C9221FB00}"/>
            </c:ext>
          </c:extLst>
        </c:ser>
        <c:ser>
          <c:idx val="5"/>
          <c:order val="5"/>
          <c:tx>
            <c:strRef>
              <c:f>ResultadosFinales!$A$7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ResultadosFinales!$H$1:$K$1</c:f>
              <c:strCache>
                <c:ptCount val="4"/>
                <c:pt idx="0">
                  <c:v>DRL Error</c:v>
                </c:pt>
                <c:pt idx="1">
                  <c:v>Greedy Error</c:v>
                </c:pt>
                <c:pt idx="2">
                  <c:v>2Opt Error</c:v>
                </c:pt>
                <c:pt idx="3">
                  <c:v>LNS-GA Error</c:v>
                </c:pt>
              </c:strCache>
            </c:strRef>
          </c:cat>
          <c:val>
            <c:numRef>
              <c:f>ResultadosFinales!$H$7:$K$7</c:f>
              <c:numCache>
                <c:formatCode>0.00%</c:formatCode>
                <c:ptCount val="4"/>
                <c:pt idx="0">
                  <c:v>4.6948836004036473E-2</c:v>
                </c:pt>
                <c:pt idx="1">
                  <c:v>1</c:v>
                </c:pt>
                <c:pt idx="2">
                  <c:v>0.28132424307771059</c:v>
                </c:pt>
                <c:pt idx="3">
                  <c:v>0.26296679255159272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E6-4235-9F63-771C9221F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400"/>
        <c:axId val="512343088"/>
      </c:barChart>
      <c:catAx>
        <c:axId val="5123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Solution Method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3088"/>
        <c:crosses val="autoZero"/>
        <c:auto val="1"/>
        <c:lblAlgn val="ctr"/>
        <c:lblOffset val="100"/>
        <c:noMultiLvlLbl val="0"/>
      </c:catAx>
      <c:valAx>
        <c:axId val="512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Average Reward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Reward</a:t>
            </a:r>
            <a:r>
              <a:rPr lang="es-CO" baseline="0"/>
              <a:t> Performance </a:t>
            </a:r>
            <a:endParaRPr lang="es-CO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'ResultadosFinales (2)'!$A$2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'ResultadosFinales (2)'!$B$1:$F$1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LNS - GA Avg Reward</c:v>
                </c:pt>
                <c:pt idx="3">
                  <c:v>2Opt Avg Reward</c:v>
                </c:pt>
                <c:pt idx="4">
                  <c:v>Greedy Avg Reward</c:v>
                </c:pt>
              </c:strCache>
            </c:strRef>
          </c:cat>
          <c:val>
            <c:numRef>
              <c:f>'ResultadosFinales (2)'!$B$2:$F$2</c:f>
              <c:numCache>
                <c:formatCode>General</c:formatCode>
                <c:ptCount val="5"/>
                <c:pt idx="0">
                  <c:v>1292.8</c:v>
                </c:pt>
                <c:pt idx="1">
                  <c:v>1107</c:v>
                </c:pt>
                <c:pt idx="2">
                  <c:v>1157.2</c:v>
                </c:pt>
                <c:pt idx="3">
                  <c:v>497.3</c:v>
                </c:pt>
                <c:pt idx="4">
                  <c:v>373.1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4-4B0B-AEB6-65F80330FA8F}"/>
            </c:ext>
          </c:extLst>
        </c:ser>
        <c:ser>
          <c:idx val="1"/>
          <c:order val="1"/>
          <c:tx>
            <c:strRef>
              <c:f>'ResultadosFinales (2)'!$A$3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'ResultadosFinales (2)'!$B$1:$F$1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LNS - GA Avg Reward</c:v>
                </c:pt>
                <c:pt idx="3">
                  <c:v>2Opt Avg Reward</c:v>
                </c:pt>
                <c:pt idx="4">
                  <c:v>Greedy Avg Reward</c:v>
                </c:pt>
              </c:strCache>
            </c:strRef>
          </c:cat>
          <c:val>
            <c:numRef>
              <c:f>'ResultadosFinales (2)'!$B$3:$F$3</c:f>
              <c:numCache>
                <c:formatCode>General</c:formatCode>
                <c:ptCount val="5"/>
                <c:pt idx="0">
                  <c:v>2356</c:v>
                </c:pt>
                <c:pt idx="1">
                  <c:v>2253.33</c:v>
                </c:pt>
                <c:pt idx="2">
                  <c:v>2119.8000000000002</c:v>
                </c:pt>
                <c:pt idx="3">
                  <c:v>1061</c:v>
                </c:pt>
                <c:pt idx="4">
                  <c:v>1019.666666666667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A4-4B0B-AEB6-65F80330FA8F}"/>
            </c:ext>
          </c:extLst>
        </c:ser>
        <c:ser>
          <c:idx val="2"/>
          <c:order val="2"/>
          <c:tx>
            <c:strRef>
              <c:f>'ResultadosFinales (2)'!$A$4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'ResultadosFinales (2)'!$B$1:$F$1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LNS - GA Avg Reward</c:v>
                </c:pt>
                <c:pt idx="3">
                  <c:v>2Opt Avg Reward</c:v>
                </c:pt>
                <c:pt idx="4">
                  <c:v>Greedy Avg Reward</c:v>
                </c:pt>
              </c:strCache>
            </c:strRef>
          </c:cat>
          <c:val>
            <c:numRef>
              <c:f>'ResultadosFinales (2)'!$B$4:$F$4</c:f>
              <c:numCache>
                <c:formatCode>General</c:formatCode>
                <c:ptCount val="5"/>
                <c:pt idx="0">
                  <c:v>2358.4</c:v>
                </c:pt>
                <c:pt idx="1">
                  <c:v>2258.27</c:v>
                </c:pt>
                <c:pt idx="2">
                  <c:v>2020.1</c:v>
                </c:pt>
                <c:pt idx="3">
                  <c:v>926.2</c:v>
                </c:pt>
                <c:pt idx="4">
                  <c:v>895.2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A4-4B0B-AEB6-65F80330FA8F}"/>
            </c:ext>
          </c:extLst>
        </c:ser>
        <c:ser>
          <c:idx val="3"/>
          <c:order val="3"/>
          <c:tx>
            <c:strRef>
              <c:f>'ResultadosFinales (2)'!$A$5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'ResultadosFinales (2)'!$B$1:$F$1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LNS - GA Avg Reward</c:v>
                </c:pt>
                <c:pt idx="3">
                  <c:v>2Opt Avg Reward</c:v>
                </c:pt>
                <c:pt idx="4">
                  <c:v>Greedy Avg Reward</c:v>
                </c:pt>
              </c:strCache>
            </c:strRef>
          </c:cat>
          <c:val>
            <c:numRef>
              <c:f>'ResultadosFinales (2)'!$B$5:$F$5</c:f>
              <c:numCache>
                <c:formatCode>General</c:formatCode>
                <c:ptCount val="5"/>
                <c:pt idx="0">
                  <c:v>2252.12</c:v>
                </c:pt>
                <c:pt idx="1">
                  <c:v>2099.5172299999999</c:v>
                </c:pt>
                <c:pt idx="2">
                  <c:v>2028.2</c:v>
                </c:pt>
                <c:pt idx="3">
                  <c:v>788.56</c:v>
                </c:pt>
                <c:pt idx="4">
                  <c:v>692.08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A4-4B0B-AEB6-65F80330FA8F}"/>
            </c:ext>
          </c:extLst>
        </c:ser>
        <c:ser>
          <c:idx val="4"/>
          <c:order val="4"/>
          <c:tx>
            <c:strRef>
              <c:f>'ResultadosFinales (2)'!$A$6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'ResultadosFinales (2)'!$B$1:$F$1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LNS - GA Avg Reward</c:v>
                </c:pt>
                <c:pt idx="3">
                  <c:v>2Opt Avg Reward</c:v>
                </c:pt>
                <c:pt idx="4">
                  <c:v>Greedy Avg Reward</c:v>
                </c:pt>
              </c:strCache>
            </c:strRef>
          </c:cat>
          <c:val>
            <c:numRef>
              <c:f>'ResultadosFinales (2)'!$B$6:$F$6</c:f>
              <c:numCache>
                <c:formatCode>General</c:formatCode>
                <c:ptCount val="5"/>
                <c:pt idx="0">
                  <c:v>4290.4333333333334</c:v>
                </c:pt>
                <c:pt idx="1">
                  <c:v>3970.1785714285702</c:v>
                </c:pt>
                <c:pt idx="2">
                  <c:v>3429.5333333333328</c:v>
                </c:pt>
                <c:pt idx="3">
                  <c:v>1495.9666666666669</c:v>
                </c:pt>
                <c:pt idx="4">
                  <c:v>1470.4666666666669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A4-4B0B-AEB6-65F80330FA8F}"/>
            </c:ext>
          </c:extLst>
        </c:ser>
        <c:ser>
          <c:idx val="5"/>
          <c:order val="5"/>
          <c:tx>
            <c:strRef>
              <c:f>'ResultadosFinales (2)'!$A$7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'ResultadosFinales (2)'!$B$1:$F$1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LNS - GA Avg Reward</c:v>
                </c:pt>
                <c:pt idx="3">
                  <c:v>2Opt Avg Reward</c:v>
                </c:pt>
                <c:pt idx="4">
                  <c:v>Greedy Avg Reward</c:v>
                </c:pt>
              </c:strCache>
            </c:strRef>
          </c:cat>
          <c:val>
            <c:numRef>
              <c:f>'ResultadosFinales (2)'!$B$7:$F$7</c:f>
              <c:numCache>
                <c:formatCode>General</c:formatCode>
                <c:ptCount val="5"/>
                <c:pt idx="0">
                  <c:v>4790.8999999999996</c:v>
                </c:pt>
                <c:pt idx="1">
                  <c:v>4369.0540540540496</c:v>
                </c:pt>
                <c:pt idx="2">
                  <c:v>4087.9749999999999</c:v>
                </c:pt>
                <c:pt idx="3">
                  <c:v>2860.6</c:v>
                </c:pt>
                <c:pt idx="4">
                  <c:v>2851.1750000000002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A4-4B0B-AEB6-65F80330FA8F}"/>
            </c:ext>
          </c:extLst>
        </c:ser>
        <c:ser>
          <c:idx val="6"/>
          <c:order val="6"/>
          <c:tx>
            <c:strRef>
              <c:f>'Nuevos Resultados'!#REF!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'ResultadosFinales (2)'!$B$1:$F$1</c:f>
              <c:strCache>
                <c:ptCount val="5"/>
                <c:pt idx="0">
                  <c:v>MIP Avg Reward</c:v>
                </c:pt>
                <c:pt idx="1">
                  <c:v>DRL Avg Reward</c:v>
                </c:pt>
                <c:pt idx="2">
                  <c:v>LNS - GA Avg Reward</c:v>
                </c:pt>
                <c:pt idx="3">
                  <c:v>2Opt Avg Reward</c:v>
                </c:pt>
                <c:pt idx="4">
                  <c:v>Greedy Avg Reward</c:v>
                </c:pt>
              </c:strCache>
            </c:strRef>
          </c:cat>
          <c:val>
            <c:numRef>
              <c:f>'Nuevos Resultados'!#REF!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A4-4B0B-AEB6-65F80330F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400"/>
        <c:axId val="512343088"/>
      </c:barChart>
      <c:catAx>
        <c:axId val="5123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Solution Method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3088"/>
        <c:crosses val="autoZero"/>
        <c:auto val="1"/>
        <c:lblAlgn val="ctr"/>
        <c:lblOffset val="100"/>
        <c:noMultiLvlLbl val="0"/>
      </c:catAx>
      <c:valAx>
        <c:axId val="512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Average Reward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Model Error 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'ResultadosFinales (2)'!$A$2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'ResultadosFinales (2)'!$H$1:$K$1</c:f>
              <c:strCache>
                <c:ptCount val="4"/>
                <c:pt idx="0">
                  <c:v>DRL Error</c:v>
                </c:pt>
                <c:pt idx="1">
                  <c:v>LNS-GA Error</c:v>
                </c:pt>
                <c:pt idx="2">
                  <c:v>2Opt Error</c:v>
                </c:pt>
                <c:pt idx="3">
                  <c:v>Greedy Error</c:v>
                </c:pt>
              </c:strCache>
            </c:strRef>
          </c:cat>
          <c:val>
            <c:numRef>
              <c:f>'ResultadosFinales (2)'!$H$2:$K$2</c:f>
              <c:numCache>
                <c:formatCode>0.00%</c:formatCode>
                <c:ptCount val="4"/>
                <c:pt idx="0">
                  <c:v>0.14371905940594057</c:v>
                </c:pt>
                <c:pt idx="1">
                  <c:v>0.10488861386138607</c:v>
                </c:pt>
                <c:pt idx="2">
                  <c:v>0.6153310643564357</c:v>
                </c:pt>
                <c:pt idx="3">
                  <c:v>0.7114016089108911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F-4EAE-BE96-35F7ED153EB6}"/>
            </c:ext>
          </c:extLst>
        </c:ser>
        <c:ser>
          <c:idx val="1"/>
          <c:order val="1"/>
          <c:tx>
            <c:strRef>
              <c:f>'ResultadosFinales (2)'!$A$3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'ResultadosFinales (2)'!$H$1:$K$1</c:f>
              <c:strCache>
                <c:ptCount val="4"/>
                <c:pt idx="0">
                  <c:v>DRL Error</c:v>
                </c:pt>
                <c:pt idx="1">
                  <c:v>LNS-GA Error</c:v>
                </c:pt>
                <c:pt idx="2">
                  <c:v>2Opt Error</c:v>
                </c:pt>
                <c:pt idx="3">
                  <c:v>Greedy Error</c:v>
                </c:pt>
              </c:strCache>
            </c:strRef>
          </c:cat>
          <c:val>
            <c:numRef>
              <c:f>'ResultadosFinales (2)'!$H$3:$K$3</c:f>
              <c:numCache>
                <c:formatCode>0.00%</c:formatCode>
                <c:ptCount val="4"/>
                <c:pt idx="0">
                  <c:v>4.3578098471986446E-2</c:v>
                </c:pt>
                <c:pt idx="1">
                  <c:v>0.10025466893039041</c:v>
                </c:pt>
                <c:pt idx="2">
                  <c:v>0.54966044142614601</c:v>
                </c:pt>
                <c:pt idx="3">
                  <c:v>0.56720430107526865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F-4EAE-BE96-35F7ED153EB6}"/>
            </c:ext>
          </c:extLst>
        </c:ser>
        <c:ser>
          <c:idx val="2"/>
          <c:order val="2"/>
          <c:tx>
            <c:strRef>
              <c:f>'ResultadosFinales (2)'!$A$4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'ResultadosFinales (2)'!$H$1:$K$1</c:f>
              <c:strCache>
                <c:ptCount val="4"/>
                <c:pt idx="0">
                  <c:v>DRL Error</c:v>
                </c:pt>
                <c:pt idx="1">
                  <c:v>LNS-GA Error</c:v>
                </c:pt>
                <c:pt idx="2">
                  <c:v>2Opt Error</c:v>
                </c:pt>
                <c:pt idx="3">
                  <c:v>Greedy Error</c:v>
                </c:pt>
              </c:strCache>
            </c:strRef>
          </c:cat>
          <c:val>
            <c:numRef>
              <c:f>'ResultadosFinales (2)'!$H$4:$K$4</c:f>
              <c:numCache>
                <c:formatCode>0.00%</c:formatCode>
                <c:ptCount val="4"/>
                <c:pt idx="0">
                  <c:v>4.2456750339213069E-2</c:v>
                </c:pt>
                <c:pt idx="1">
                  <c:v>0.14344470827679789</c:v>
                </c:pt>
                <c:pt idx="2">
                  <c:v>0.60727611940298509</c:v>
                </c:pt>
                <c:pt idx="3">
                  <c:v>0.62042062415196741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F-4EAE-BE96-35F7ED153EB6}"/>
            </c:ext>
          </c:extLst>
        </c:ser>
        <c:ser>
          <c:idx val="3"/>
          <c:order val="3"/>
          <c:tx>
            <c:strRef>
              <c:f>'ResultadosFinales (2)'!$A$5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'ResultadosFinales (2)'!$H$1:$K$1</c:f>
              <c:strCache>
                <c:ptCount val="4"/>
                <c:pt idx="0">
                  <c:v>DRL Error</c:v>
                </c:pt>
                <c:pt idx="1">
                  <c:v>LNS-GA Error</c:v>
                </c:pt>
                <c:pt idx="2">
                  <c:v>2Opt Error</c:v>
                </c:pt>
                <c:pt idx="3">
                  <c:v>Greedy Error</c:v>
                </c:pt>
              </c:strCache>
            </c:strRef>
          </c:cat>
          <c:val>
            <c:numRef>
              <c:f>'ResultadosFinales (2)'!$H$5:$K$5</c:f>
              <c:numCache>
                <c:formatCode>0.00%</c:formatCode>
                <c:ptCount val="4"/>
                <c:pt idx="0">
                  <c:v>6.7759608724224277E-2</c:v>
                </c:pt>
                <c:pt idx="1">
                  <c:v>9.9426318313411297E-2</c:v>
                </c:pt>
                <c:pt idx="2">
                  <c:v>0.64985879970871885</c:v>
                </c:pt>
                <c:pt idx="3">
                  <c:v>0.69269843525211805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CF-4EAE-BE96-35F7ED153EB6}"/>
            </c:ext>
          </c:extLst>
        </c:ser>
        <c:ser>
          <c:idx val="4"/>
          <c:order val="4"/>
          <c:tx>
            <c:strRef>
              <c:f>'ResultadosFinales (2)'!$A$6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'ResultadosFinales (2)'!$H$1:$K$1</c:f>
              <c:strCache>
                <c:ptCount val="4"/>
                <c:pt idx="0">
                  <c:v>DRL Error</c:v>
                </c:pt>
                <c:pt idx="1">
                  <c:v>LNS-GA Error</c:v>
                </c:pt>
                <c:pt idx="2">
                  <c:v>2Opt Error</c:v>
                </c:pt>
                <c:pt idx="3">
                  <c:v>Greedy Error</c:v>
                </c:pt>
              </c:strCache>
            </c:strRef>
          </c:cat>
          <c:val>
            <c:numRef>
              <c:f>'ResultadosFinales (2)'!$H$6:$K$6</c:f>
              <c:numCache>
                <c:formatCode>0.00%</c:formatCode>
                <c:ptCount val="4"/>
                <c:pt idx="0">
                  <c:v>7.4643919861574939E-2</c:v>
                </c:pt>
                <c:pt idx="1">
                  <c:v>0.20065572242120078</c:v>
                </c:pt>
                <c:pt idx="2">
                  <c:v>0.6513250409826512</c:v>
                </c:pt>
                <c:pt idx="3">
                  <c:v>0.65726849657765718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CF-4EAE-BE96-35F7ED153EB6}"/>
            </c:ext>
          </c:extLst>
        </c:ser>
        <c:ser>
          <c:idx val="5"/>
          <c:order val="5"/>
          <c:tx>
            <c:strRef>
              <c:f>'ResultadosFinales (2)'!$A$7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'ResultadosFinales (2)'!$H$1:$K$1</c:f>
              <c:strCache>
                <c:ptCount val="4"/>
                <c:pt idx="0">
                  <c:v>DRL Error</c:v>
                </c:pt>
                <c:pt idx="1">
                  <c:v>LNS-GA Error</c:v>
                </c:pt>
                <c:pt idx="2">
                  <c:v>2Opt Error</c:v>
                </c:pt>
                <c:pt idx="3">
                  <c:v>Greedy Error</c:v>
                </c:pt>
              </c:strCache>
            </c:strRef>
          </c:cat>
          <c:val>
            <c:numRef>
              <c:f>'ResultadosFinales (2)'!$H$7:$K$7</c:f>
              <c:numCache>
                <c:formatCode>0.00%</c:formatCode>
                <c:ptCount val="4"/>
                <c:pt idx="0">
                  <c:v>8.805150304659877E-2</c:v>
                </c:pt>
                <c:pt idx="1">
                  <c:v>0.14672086664301065</c:v>
                </c:pt>
                <c:pt idx="2">
                  <c:v>0.40290968294057483</c:v>
                </c:pt>
                <c:pt idx="3">
                  <c:v>0.40487695422571951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CF-4EAE-BE96-35F7ED153EB6}"/>
            </c:ext>
          </c:extLst>
        </c:ser>
        <c:ser>
          <c:idx val="6"/>
          <c:order val="6"/>
          <c:tx>
            <c:strRef>
              <c:f>'ResultadosFinales (2)'!$A$8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'ResultadosFinales (2)'!$H$1:$K$1</c:f>
              <c:strCache>
                <c:ptCount val="4"/>
                <c:pt idx="0">
                  <c:v>DRL Error</c:v>
                </c:pt>
                <c:pt idx="1">
                  <c:v>LNS-GA Error</c:v>
                </c:pt>
                <c:pt idx="2">
                  <c:v>2Opt Error</c:v>
                </c:pt>
                <c:pt idx="3">
                  <c:v>Greedy Error</c:v>
                </c:pt>
              </c:strCache>
            </c:strRef>
          </c:cat>
          <c:val>
            <c:numRef>
              <c:f>'ResultadosFinales (2)'!$H$8:$K$8</c:f>
              <c:numCache>
                <c:formatCode>0.00%</c:formatCode>
                <c:ptCount val="4"/>
                <c:pt idx="0">
                  <c:v>0.11229670669066248</c:v>
                </c:pt>
                <c:pt idx="1">
                  <c:v>0.12749057733332211</c:v>
                </c:pt>
                <c:pt idx="2">
                  <c:v>0.35320454986213817</c:v>
                </c:pt>
                <c:pt idx="3">
                  <c:v>0.35949475956390131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CF-4EAE-BE96-35F7ED153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400"/>
        <c:axId val="512343088"/>
      </c:barChart>
      <c:catAx>
        <c:axId val="5123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Solution Method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3088"/>
        <c:crosses val="autoZero"/>
        <c:auto val="1"/>
        <c:lblAlgn val="ctr"/>
        <c:lblOffset val="100"/>
        <c:noMultiLvlLbl val="0"/>
      </c:catAx>
      <c:valAx>
        <c:axId val="5123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Average Reward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110490</xdr:rowOff>
    </xdr:from>
    <xdr:to>
      <xdr:col>5</xdr:col>
      <xdr:colOff>1249680</xdr:colOff>
      <xdr:row>30</xdr:row>
      <xdr:rowOff>30480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8</xdr:row>
      <xdr:rowOff>83820</xdr:rowOff>
    </xdr:from>
    <xdr:to>
      <xdr:col>17</xdr:col>
      <xdr:colOff>213360</xdr:colOff>
      <xdr:row>30</xdr:row>
      <xdr:rowOff>3810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110490</xdr:rowOff>
    </xdr:from>
    <xdr:to>
      <xdr:col>4</xdr:col>
      <xdr:colOff>1249680</xdr:colOff>
      <xdr:row>29</xdr:row>
      <xdr:rowOff>30480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7</xdr:row>
      <xdr:rowOff>83820</xdr:rowOff>
    </xdr:from>
    <xdr:to>
      <xdr:col>16</xdr:col>
      <xdr:colOff>213360</xdr:colOff>
      <xdr:row>29</xdr:row>
      <xdr:rowOff>3810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110490</xdr:rowOff>
    </xdr:from>
    <xdr:to>
      <xdr:col>5</xdr:col>
      <xdr:colOff>1249680</xdr:colOff>
      <xdr:row>29</xdr:row>
      <xdr:rowOff>30480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7</xdr:row>
      <xdr:rowOff>83820</xdr:rowOff>
    </xdr:from>
    <xdr:to>
      <xdr:col>18</xdr:col>
      <xdr:colOff>213360</xdr:colOff>
      <xdr:row>29</xdr:row>
      <xdr:rowOff>3810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110490</xdr:rowOff>
    </xdr:from>
    <xdr:to>
      <xdr:col>5</xdr:col>
      <xdr:colOff>1249680</xdr:colOff>
      <xdr:row>30</xdr:row>
      <xdr:rowOff>30480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8</xdr:row>
      <xdr:rowOff>83820</xdr:rowOff>
    </xdr:from>
    <xdr:to>
      <xdr:col>18</xdr:col>
      <xdr:colOff>213360</xdr:colOff>
      <xdr:row>30</xdr:row>
      <xdr:rowOff>3810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="83" workbookViewId="0">
      <selection activeCell="S13" sqref="S13"/>
    </sheetView>
  </sheetViews>
  <sheetFormatPr baseColWidth="10" defaultColWidth="8.88671875" defaultRowHeight="14.4" x14ac:dyDescent="0.3"/>
  <cols>
    <col min="1" max="1" width="13.77734375" customWidth="1"/>
    <col min="2" max="4" width="18.5546875" customWidth="1"/>
    <col min="5" max="5" width="27.21875" customWidth="1"/>
    <col min="6" max="6" width="18.5546875" customWidth="1"/>
    <col min="7" max="10" width="13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</v>
      </c>
      <c r="B2" s="2">
        <v>2304.8465902299999</v>
      </c>
      <c r="C2" s="2">
        <v>1449</v>
      </c>
      <c r="D2" s="2">
        <v>1403.2</v>
      </c>
      <c r="E2" s="2">
        <v>1022.2</v>
      </c>
      <c r="F2" s="2">
        <v>1112.8</v>
      </c>
      <c r="G2" s="3">
        <f>(C2-C2)/C2</f>
        <v>0</v>
      </c>
      <c r="H2" s="3">
        <f>(C2-D2)/C2</f>
        <v>3.1608005521048969E-2</v>
      </c>
      <c r="I2" s="3">
        <f>(C2-E2)/C2</f>
        <v>0.29454796411318146</v>
      </c>
      <c r="J2" s="3">
        <f>(C2-F2)/C2</f>
        <v>0.23202208419599726</v>
      </c>
    </row>
    <row r="3" spans="1:10" x14ac:dyDescent="0.3">
      <c r="A3" s="2">
        <v>15</v>
      </c>
      <c r="B3" s="2">
        <v>4162.2426601591997</v>
      </c>
      <c r="C3" s="2">
        <v>3035.4</v>
      </c>
      <c r="D3" s="2">
        <v>2748.375</v>
      </c>
      <c r="E3" s="2">
        <v>1426.2</v>
      </c>
      <c r="F3" s="2">
        <v>1574.2666666666671</v>
      </c>
      <c r="G3" s="3">
        <f t="shared" ref="G3:G6" si="0">(C3-C3)/C3</f>
        <v>0</v>
      </c>
      <c r="H3" s="3">
        <f t="shared" ref="H3:H6" si="1">(C3-D3)/C3</f>
        <v>9.4559201423206188E-2</v>
      </c>
      <c r="I3" s="3">
        <f t="shared" ref="I3:I6" si="2">(C3-E3)/C3</f>
        <v>0.53014429729195489</v>
      </c>
      <c r="J3" s="3">
        <f t="shared" ref="J3:J6" si="3">(C3-F3)/C3</f>
        <v>0.48136434517142151</v>
      </c>
    </row>
    <row r="4" spans="1:10" x14ac:dyDescent="0.3">
      <c r="A4" s="2">
        <v>20</v>
      </c>
      <c r="B4" s="2">
        <v>4171.7155534059002</v>
      </c>
      <c r="C4" s="2">
        <v>2969.15</v>
      </c>
      <c r="D4" s="2">
        <v>2616.125</v>
      </c>
      <c r="E4" s="2">
        <v>1134.95</v>
      </c>
      <c r="F4" s="2">
        <v>1154.8499999999999</v>
      </c>
      <c r="G4" s="3">
        <f t="shared" si="0"/>
        <v>0</v>
      </c>
      <c r="H4" s="3">
        <f t="shared" si="1"/>
        <v>0.11889766431470289</v>
      </c>
      <c r="I4" s="3">
        <f t="shared" si="2"/>
        <v>0.61775255544516106</v>
      </c>
      <c r="J4" s="3">
        <f t="shared" si="3"/>
        <v>0.61105030059107834</v>
      </c>
    </row>
    <row r="5" spans="1:10" x14ac:dyDescent="0.3">
      <c r="A5" s="2">
        <v>25</v>
      </c>
      <c r="B5" s="2">
        <v>4481.6106945229603</v>
      </c>
      <c r="C5" s="2">
        <v>2850.88</v>
      </c>
      <c r="D5" s="2">
        <v>2536.4444444444439</v>
      </c>
      <c r="E5" s="2">
        <v>999.56</v>
      </c>
      <c r="F5" s="2">
        <v>1024.52</v>
      </c>
      <c r="G5" s="3">
        <f t="shared" si="0"/>
        <v>0</v>
      </c>
      <c r="H5" s="3">
        <f t="shared" si="1"/>
        <v>0.11029420935134282</v>
      </c>
      <c r="I5" s="3">
        <f t="shared" si="2"/>
        <v>0.64938545291278482</v>
      </c>
      <c r="J5" s="3">
        <f t="shared" si="3"/>
        <v>0.64063026153328095</v>
      </c>
    </row>
    <row r="6" spans="1:10" x14ac:dyDescent="0.3">
      <c r="A6" s="2">
        <v>30</v>
      </c>
      <c r="B6" s="2">
        <v>6824.4742492383339</v>
      </c>
      <c r="C6" s="2">
        <v>5299.8666666666668</v>
      </c>
      <c r="D6" s="2">
        <v>4593.3636363636397</v>
      </c>
      <c r="E6" s="2">
        <v>2467.0666666666671</v>
      </c>
      <c r="F6" s="2">
        <v>2503.3000000000002</v>
      </c>
      <c r="G6" s="3">
        <f t="shared" si="0"/>
        <v>0</v>
      </c>
      <c r="H6" s="3">
        <f t="shared" si="1"/>
        <v>0.13330581215307816</v>
      </c>
      <c r="I6" s="3">
        <f t="shared" si="2"/>
        <v>0.53450401267956416</v>
      </c>
      <c r="J6" s="3">
        <f t="shared" si="3"/>
        <v>0.52766736270094838</v>
      </c>
    </row>
    <row r="7" spans="1:10" x14ac:dyDescent="0.3">
      <c r="A7" s="2">
        <v>40</v>
      </c>
      <c r="B7" s="2">
        <v>8418.9840838311011</v>
      </c>
      <c r="C7" s="2">
        <v>7162.65</v>
      </c>
      <c r="D7" s="2">
        <v>6270.3253999999997</v>
      </c>
      <c r="E7" s="2">
        <v>3811.4749999999999</v>
      </c>
      <c r="F7" s="2">
        <v>3883.7</v>
      </c>
      <c r="G7" s="3">
        <f>(C7-C7)/C7</f>
        <v>0</v>
      </c>
      <c r="H7" s="3">
        <f>(C7-D7)/C7</f>
        <v>0.12458023217663854</v>
      </c>
      <c r="I7" s="3">
        <f>(C7-E7)/C7</f>
        <v>0.46786803766762303</v>
      </c>
      <c r="J7" s="3">
        <f>(C7-F7)/C7</f>
        <v>0.45778447920811433</v>
      </c>
    </row>
    <row r="8" spans="1:10" x14ac:dyDescent="0.3">
      <c r="A8" s="2">
        <v>45</v>
      </c>
      <c r="B8" s="2">
        <v>8868.857</v>
      </c>
      <c r="C8" s="2">
        <v>7481.4</v>
      </c>
      <c r="D8" s="2">
        <v>6429.2142857142899</v>
      </c>
      <c r="E8" s="2">
        <v>4199.1555555555551</v>
      </c>
      <c r="F8" s="2">
        <v>4212.0888888888894</v>
      </c>
      <c r="G8" s="3">
        <f>(C8-C8)/C8</f>
        <v>0</v>
      </c>
      <c r="H8" s="3">
        <f>(C8-D8)/C8</f>
        <v>0.14064021630787149</v>
      </c>
      <c r="I8" s="3">
        <f>(C8-E8)/C8</f>
        <v>0.43872061972952187</v>
      </c>
      <c r="J8" s="3">
        <f>(C8-F8)/C8</f>
        <v>0.43699188803046363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="76" workbookViewId="0">
      <selection activeCell="H36" sqref="H36"/>
    </sheetView>
  </sheetViews>
  <sheetFormatPr baseColWidth="10" defaultColWidth="8.88671875" defaultRowHeight="14.4" x14ac:dyDescent="0.3"/>
  <cols>
    <col min="1" max="1" width="13.77734375" customWidth="1"/>
    <col min="2" max="3" width="18.5546875" customWidth="1"/>
    <col min="4" max="4" width="27.21875" customWidth="1"/>
    <col min="5" max="5" width="18.5546875" customWidth="1"/>
    <col min="6" max="9" width="13.7773437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s="2">
        <v>10</v>
      </c>
      <c r="B2" s="2">
        <v>446.2</v>
      </c>
      <c r="C2" s="2">
        <v>422.57</v>
      </c>
      <c r="D2" s="2">
        <v>402.2</v>
      </c>
      <c r="E2" s="2">
        <v>402.8</v>
      </c>
      <c r="F2" s="3">
        <f>(B2-B2)/B2</f>
        <v>0</v>
      </c>
      <c r="G2" s="3">
        <f>(B2-C2)/B2</f>
        <v>5.2958314657104426E-2</v>
      </c>
      <c r="H2" s="3">
        <f>(B2-D2)/B2</f>
        <v>9.8610488570147925E-2</v>
      </c>
      <c r="I2" s="3">
        <f>(B2-E2)/B2</f>
        <v>9.7265800089645846E-2</v>
      </c>
    </row>
    <row r="3" spans="1:9" x14ac:dyDescent="0.3">
      <c r="A3" s="2">
        <v>15</v>
      </c>
      <c r="B3" s="2">
        <v>2017.133333333333</v>
      </c>
      <c r="C3" s="2">
        <v>1953.33</v>
      </c>
      <c r="D3" s="2">
        <v>1542.2</v>
      </c>
      <c r="E3" s="2">
        <v>1450.6</v>
      </c>
      <c r="F3" s="3">
        <f t="shared" ref="F3:F6" si="0">(B3-B3)/B3</f>
        <v>0</v>
      </c>
      <c r="G3" s="3">
        <f t="shared" ref="G3:G6" si="1">(B3-C3)/B3</f>
        <v>3.1630697028786597E-2</v>
      </c>
      <c r="H3" s="3">
        <f t="shared" ref="H3:H6" si="2">(B3-D3)/B3</f>
        <v>0.23544964801533513</v>
      </c>
      <c r="I3" s="3">
        <f t="shared" ref="I3:I6" si="3">(B3-E3)/B3</f>
        <v>0.28086062729285777</v>
      </c>
    </row>
    <row r="4" spans="1:9" x14ac:dyDescent="0.3">
      <c r="A4" s="2">
        <v>20</v>
      </c>
      <c r="B4" s="2">
        <v>2130.6</v>
      </c>
      <c r="C4" s="2">
        <v>1958.27</v>
      </c>
      <c r="D4" s="2">
        <v>1204.545454545455</v>
      </c>
      <c r="E4" s="2">
        <v>1228.909090909091</v>
      </c>
      <c r="F4" s="3">
        <f t="shared" si="0"/>
        <v>0</v>
      </c>
      <c r="G4" s="3">
        <f t="shared" si="1"/>
        <v>8.0883319252792615E-2</v>
      </c>
      <c r="H4" s="3">
        <f t="shared" si="2"/>
        <v>0.43464495703301653</v>
      </c>
      <c r="I4" s="3">
        <f t="shared" si="3"/>
        <v>0.42320985125828825</v>
      </c>
    </row>
    <row r="5" spans="1:9" x14ac:dyDescent="0.3">
      <c r="A5" s="2">
        <v>25</v>
      </c>
      <c r="B5" s="2">
        <v>2206.5</v>
      </c>
      <c r="C5" s="2">
        <v>2144.5172299999999</v>
      </c>
      <c r="D5" s="2">
        <v>1655.6777777</v>
      </c>
      <c r="E5" s="2">
        <v>1661.9511500000001</v>
      </c>
      <c r="F5" s="3">
        <f>(B5-B5)/B5</f>
        <v>0</v>
      </c>
      <c r="G5" s="3">
        <f>(B5-C5)/B5</f>
        <v>2.8090990256061668E-2</v>
      </c>
      <c r="H5" s="3">
        <f>(B5-D5)/B5</f>
        <v>0.24963617598005894</v>
      </c>
      <c r="I5" s="3">
        <f>(B5-E5)/B5</f>
        <v>0.24679304328121454</v>
      </c>
    </row>
    <row r="6" spans="1:9" x14ac:dyDescent="0.3">
      <c r="A6" s="2">
        <v>30</v>
      </c>
      <c r="B6" s="2">
        <v>4242.9333333333334</v>
      </c>
      <c r="C6" s="2">
        <v>3970.1785714285702</v>
      </c>
      <c r="D6" s="2">
        <v>2023.1111111111111</v>
      </c>
      <c r="E6" s="2">
        <v>2079.5613211</v>
      </c>
      <c r="F6" s="3">
        <f t="shared" si="0"/>
        <v>0</v>
      </c>
      <c r="G6" s="3">
        <f t="shared" si="1"/>
        <v>6.4284479739982525E-2</v>
      </c>
      <c r="H6" s="3">
        <f t="shared" si="2"/>
        <v>0.52318102780047337</v>
      </c>
      <c r="I6" s="3">
        <f t="shared" si="3"/>
        <v>0.50987650341744706</v>
      </c>
    </row>
    <row r="7" spans="1:9" x14ac:dyDescent="0.3">
      <c r="A7" s="2">
        <v>40</v>
      </c>
      <c r="B7" s="2">
        <v>4521.3249999999998</v>
      </c>
      <c r="C7" s="2">
        <v>4309.0540540540496</v>
      </c>
      <c r="D7" s="2">
        <v>3249.36666666667</v>
      </c>
      <c r="E7" s="2">
        <v>3332.36666666667</v>
      </c>
      <c r="F7" s="3">
        <f>(B7-B7)/B7</f>
        <v>0</v>
      </c>
      <c r="G7" s="3">
        <f>(B7-C7)/B7</f>
        <v>4.6948836004036473E-2</v>
      </c>
      <c r="H7" s="3">
        <f>(B7-D7)/B7</f>
        <v>0.28132424307771059</v>
      </c>
      <c r="I7" s="3">
        <f>(B7-E7)/B7</f>
        <v>0.26296679255159272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zoomScale="76" workbookViewId="0">
      <selection activeCell="N1" sqref="N1:N1048576"/>
    </sheetView>
  </sheetViews>
  <sheetFormatPr baseColWidth="10" defaultColWidth="8.88671875" defaultRowHeight="14.4" x14ac:dyDescent="0.3"/>
  <cols>
    <col min="1" max="1" width="13.77734375" customWidth="1"/>
    <col min="2" max="4" width="18.5546875" customWidth="1"/>
    <col min="5" max="5" width="27.21875" customWidth="1"/>
    <col min="6" max="6" width="18.5546875" customWidth="1"/>
    <col min="7" max="11" width="13.77734375" customWidth="1"/>
    <col min="12" max="16" width="22.33203125" customWidth="1"/>
  </cols>
  <sheetData>
    <row r="1" spans="1:16" x14ac:dyDescent="0.3">
      <c r="A1" s="1" t="s">
        <v>0</v>
      </c>
      <c r="B1" s="1" t="s">
        <v>2</v>
      </c>
      <c r="C1" s="1" t="s">
        <v>3</v>
      </c>
      <c r="D1" s="1" t="s">
        <v>11</v>
      </c>
      <c r="E1" s="1" t="s">
        <v>4</v>
      </c>
      <c r="F1" s="1" t="s">
        <v>17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s="2">
        <v>10</v>
      </c>
      <c r="B2" s="2">
        <v>1292.8</v>
      </c>
      <c r="C2" s="2">
        <v>1107</v>
      </c>
      <c r="D2" s="2">
        <v>373.1</v>
      </c>
      <c r="E2" s="2">
        <v>497.3</v>
      </c>
      <c r="F2" s="2">
        <v>1157.2</v>
      </c>
      <c r="G2" s="3">
        <f>(B2-B2)/B2</f>
        <v>0</v>
      </c>
      <c r="H2" s="3">
        <f>(B2-C2)/B2</f>
        <v>0.14371905940594057</v>
      </c>
      <c r="I2" s="3">
        <f>(B2-D2)/B2</f>
        <v>0.7114016089108911</v>
      </c>
      <c r="J2" s="3">
        <f>(B2-E2)/B2</f>
        <v>0.6153310643564357</v>
      </c>
      <c r="K2" s="3">
        <f>(B2-F2)/B2</f>
        <v>0.10488861386138607</v>
      </c>
      <c r="L2" s="2">
        <v>0.1134446382522583</v>
      </c>
      <c r="M2" s="2">
        <v>1.566648483276367E-3</v>
      </c>
      <c r="N2" s="2">
        <v>0</v>
      </c>
      <c r="O2" s="2">
        <v>0</v>
      </c>
      <c r="P2" s="2">
        <v>0.36036262512207029</v>
      </c>
    </row>
    <row r="3" spans="1:16" x14ac:dyDescent="0.3">
      <c r="A3" s="2">
        <v>20</v>
      </c>
      <c r="B3" s="2">
        <v>2356</v>
      </c>
      <c r="C3" s="2">
        <v>1953.33</v>
      </c>
      <c r="D3" s="2">
        <v>1019.666666666667</v>
      </c>
      <c r="E3" s="2">
        <v>1061</v>
      </c>
      <c r="F3" s="2">
        <v>2119.8000000000002</v>
      </c>
      <c r="G3" s="3">
        <f t="shared" ref="G3:G6" si="0">(B3-B3)/B3</f>
        <v>0</v>
      </c>
      <c r="H3" s="3">
        <f t="shared" ref="H3:H6" si="1">(B3-C3)/B3</f>
        <v>0.17091256366723262</v>
      </c>
      <c r="I3" s="3">
        <f t="shared" ref="I3:I7" si="2">(B3-D3)/B3</f>
        <v>0.56720430107526865</v>
      </c>
      <c r="J3" s="3">
        <f t="shared" ref="J3:J6" si="3">(B3-E3)/B3</f>
        <v>0.54966044142614601</v>
      </c>
      <c r="K3" s="3">
        <f t="shared" ref="K3:K6" si="4">(B3-F3)/B3</f>
        <v>0.10025466893039041</v>
      </c>
      <c r="L3" s="2">
        <v>0.18758916854858401</v>
      </c>
      <c r="M3" s="2">
        <v>1.9741058349609379E-3</v>
      </c>
      <c r="N3" s="2">
        <v>1.047261555989583E-3</v>
      </c>
      <c r="O3" s="2">
        <v>4.6634674072265617E-5</v>
      </c>
      <c r="P3" s="2">
        <v>1.1920961538950601</v>
      </c>
    </row>
    <row r="4" spans="1:16" x14ac:dyDescent="0.3">
      <c r="A4" s="2">
        <v>25</v>
      </c>
      <c r="B4" s="2">
        <v>2358.4</v>
      </c>
      <c r="C4" s="2">
        <v>1958.27</v>
      </c>
      <c r="D4" s="2">
        <v>895.2</v>
      </c>
      <c r="E4" s="2">
        <v>926.2</v>
      </c>
      <c r="F4" s="2">
        <v>2020.1</v>
      </c>
      <c r="G4" s="3">
        <f t="shared" si="0"/>
        <v>0</v>
      </c>
      <c r="H4" s="3">
        <f t="shared" si="1"/>
        <v>0.1696616350067843</v>
      </c>
      <c r="I4" s="3">
        <f t="shared" si="2"/>
        <v>0.62042062415196741</v>
      </c>
      <c r="J4" s="3">
        <f t="shared" si="3"/>
        <v>0.60727611940298509</v>
      </c>
      <c r="K4" s="3">
        <f t="shared" si="4"/>
        <v>0.14344470827679789</v>
      </c>
      <c r="L4" s="2">
        <v>0.30673311948776238</v>
      </c>
      <c r="M4" s="2">
        <v>4.0775060653686522E-3</v>
      </c>
      <c r="N4" s="2">
        <v>7.974028587341309E-4</v>
      </c>
      <c r="O4" s="2">
        <v>0</v>
      </c>
      <c r="P4" s="2">
        <v>2.9169632673263548</v>
      </c>
    </row>
    <row r="5" spans="1:16" x14ac:dyDescent="0.3">
      <c r="A5" s="2">
        <v>25</v>
      </c>
      <c r="B5" s="2">
        <v>2252.12</v>
      </c>
      <c r="C5" s="2">
        <v>2144.5172299999999</v>
      </c>
      <c r="D5" s="2">
        <v>692.08</v>
      </c>
      <c r="E5" s="2">
        <v>788.56</v>
      </c>
      <c r="F5" s="2">
        <v>2028.2</v>
      </c>
      <c r="G5" s="3">
        <f>(B5-B5)/B5</f>
        <v>0</v>
      </c>
      <c r="H5" s="3">
        <f>(B5-C5)/B5</f>
        <v>4.7778435429728421E-2</v>
      </c>
      <c r="I5" s="3">
        <f t="shared" si="2"/>
        <v>0.69269843525211805</v>
      </c>
      <c r="J5" s="3">
        <f>(B5-E5)/B5</f>
        <v>0.64985879970871885</v>
      </c>
      <c r="K5" s="3">
        <f>(B5-F5)/B5</f>
        <v>9.9426318313411297E-2</v>
      </c>
      <c r="L5" s="2">
        <v>0.43283733367919919</v>
      </c>
      <c r="M5" s="2">
        <v>5.3129196166992188E-3</v>
      </c>
      <c r="N5" s="2">
        <v>0</v>
      </c>
      <c r="O5" s="2">
        <v>4.5330047607421869E-4</v>
      </c>
      <c r="P5" s="2">
        <v>5.8340773773193364</v>
      </c>
    </row>
    <row r="6" spans="1:16" x14ac:dyDescent="0.3">
      <c r="A6" s="2">
        <v>30</v>
      </c>
      <c r="B6" s="2">
        <v>4290.4333333333334</v>
      </c>
      <c r="C6" s="2">
        <v>3970.1785714285702</v>
      </c>
      <c r="D6" s="2">
        <v>1470.4666666666669</v>
      </c>
      <c r="E6" s="2">
        <v>1495.9666666666669</v>
      </c>
      <c r="F6" s="2">
        <v>3429.5333333333328</v>
      </c>
      <c r="G6" s="3">
        <f t="shared" si="0"/>
        <v>0</v>
      </c>
      <c r="H6" s="3">
        <f t="shared" si="1"/>
        <v>7.4643919861574939E-2</v>
      </c>
      <c r="I6" s="3">
        <f t="shared" si="2"/>
        <v>0.65726849657765718</v>
      </c>
      <c r="J6" s="3">
        <f t="shared" si="3"/>
        <v>0.6513250409826512</v>
      </c>
      <c r="K6" s="3">
        <f t="shared" si="4"/>
        <v>0.20065572242120078</v>
      </c>
      <c r="L6" s="2">
        <v>0.59729191462198905</v>
      </c>
      <c r="M6" s="2">
        <v>3.142929077148437E-3</v>
      </c>
      <c r="N6" s="2">
        <v>3.4066041310628248E-4</v>
      </c>
      <c r="O6" s="2">
        <v>3.1753381093343103E-4</v>
      </c>
      <c r="P6" s="2">
        <v>10.72646949291229</v>
      </c>
    </row>
    <row r="7" spans="1:16" x14ac:dyDescent="0.3">
      <c r="A7" s="2">
        <v>40</v>
      </c>
      <c r="B7" s="2">
        <v>4521.3249999999998</v>
      </c>
      <c r="C7" s="2">
        <v>4309.0540540540496</v>
      </c>
      <c r="D7" s="2"/>
      <c r="E7" s="2">
        <v>3249.36666666667</v>
      </c>
      <c r="F7" s="2">
        <v>3332.36666666667</v>
      </c>
      <c r="G7" s="3">
        <f>(B7-B7)/B7</f>
        <v>0</v>
      </c>
      <c r="H7" s="3">
        <f>(B7-C7)/B7</f>
        <v>4.6948836004036473E-2</v>
      </c>
      <c r="I7" s="3">
        <f t="shared" si="2"/>
        <v>1</v>
      </c>
      <c r="J7" s="3">
        <f>(B7-E7)/B7</f>
        <v>0.28132424307771059</v>
      </c>
      <c r="K7" s="3">
        <f>(B7-F7)/B7</f>
        <v>0.26296679255159272</v>
      </c>
      <c r="L7" s="2"/>
      <c r="M7" s="2"/>
      <c r="N7" s="2"/>
      <c r="O7" s="2"/>
      <c r="P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zoomScale="76" workbookViewId="0">
      <selection activeCell="C3" sqref="C3"/>
    </sheetView>
  </sheetViews>
  <sheetFormatPr baseColWidth="10" defaultColWidth="8.88671875" defaultRowHeight="14.4" x14ac:dyDescent="0.3"/>
  <cols>
    <col min="1" max="1" width="13.77734375" customWidth="1"/>
    <col min="2" max="4" width="18.5546875" customWidth="1"/>
    <col min="5" max="5" width="27.21875" customWidth="1"/>
    <col min="6" max="6" width="18.5546875" customWidth="1"/>
    <col min="7" max="11" width="13.77734375" customWidth="1"/>
    <col min="12" max="16" width="22.33203125" customWidth="1"/>
  </cols>
  <sheetData>
    <row r="1" spans="1:16" x14ac:dyDescent="0.3">
      <c r="A1" s="1" t="s">
        <v>0</v>
      </c>
      <c r="B1" s="1" t="s">
        <v>2</v>
      </c>
      <c r="C1" s="1" t="s">
        <v>3</v>
      </c>
      <c r="D1" s="1" t="s">
        <v>17</v>
      </c>
      <c r="E1" s="1" t="s">
        <v>4</v>
      </c>
      <c r="F1" s="1" t="s">
        <v>11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8</v>
      </c>
      <c r="L1" s="1" t="s">
        <v>12</v>
      </c>
      <c r="M1" s="1" t="s">
        <v>13</v>
      </c>
      <c r="N1" s="1" t="s">
        <v>16</v>
      </c>
      <c r="O1" s="1" t="s">
        <v>15</v>
      </c>
      <c r="P1" s="1" t="s">
        <v>14</v>
      </c>
    </row>
    <row r="2" spans="1:16" x14ac:dyDescent="0.3">
      <c r="A2" s="2">
        <v>10</v>
      </c>
      <c r="B2" s="2">
        <v>1292.8</v>
      </c>
      <c r="C2" s="2">
        <v>1107</v>
      </c>
      <c r="D2" s="2">
        <v>1157.2</v>
      </c>
      <c r="E2" s="2">
        <v>497.3</v>
      </c>
      <c r="F2" s="2">
        <v>373.1</v>
      </c>
      <c r="G2" s="3">
        <f>(B2-B2)/B2</f>
        <v>0</v>
      </c>
      <c r="H2" s="3">
        <f>(B2-C2)/B2</f>
        <v>0.14371905940594057</v>
      </c>
      <c r="I2" s="3">
        <f>(B2-D2)/B2</f>
        <v>0.10488861386138607</v>
      </c>
      <c r="J2" s="3">
        <f>(B2-E2)/B2</f>
        <v>0.6153310643564357</v>
      </c>
      <c r="K2" s="3">
        <f>(B2-F2)/B2</f>
        <v>0.7114016089108911</v>
      </c>
      <c r="L2" s="2">
        <v>0.1134446382522583</v>
      </c>
      <c r="M2" s="2">
        <v>1.566648483276367E-3</v>
      </c>
      <c r="N2" s="2">
        <v>0.36036262512207029</v>
      </c>
      <c r="O2" s="2">
        <v>0</v>
      </c>
      <c r="P2" s="2">
        <v>0</v>
      </c>
    </row>
    <row r="3" spans="1:16" x14ac:dyDescent="0.3">
      <c r="A3" s="2">
        <v>15</v>
      </c>
      <c r="B3" s="2">
        <v>2356</v>
      </c>
      <c r="C3" s="2">
        <v>2253.33</v>
      </c>
      <c r="D3" s="2">
        <v>2119.8000000000002</v>
      </c>
      <c r="E3" s="2">
        <v>1061</v>
      </c>
      <c r="F3" s="2">
        <v>1019.666666666667</v>
      </c>
      <c r="G3" s="3">
        <f t="shared" ref="G3:G6" si="0">(B3-B3)/B3</f>
        <v>0</v>
      </c>
      <c r="H3" s="3">
        <f t="shared" ref="H3:H6" si="1">(B3-C3)/B3</f>
        <v>4.3578098471986446E-2</v>
      </c>
      <c r="I3" s="3">
        <f t="shared" ref="I3:I7" si="2">(B3-D3)/B3</f>
        <v>0.10025466893039041</v>
      </c>
      <c r="J3" s="3">
        <f t="shared" ref="J3:J6" si="3">(B3-E3)/B3</f>
        <v>0.54966044142614601</v>
      </c>
      <c r="K3" s="3">
        <f t="shared" ref="K3:K6" si="4">(B3-F3)/B3</f>
        <v>0.56720430107526865</v>
      </c>
      <c r="L3" s="2">
        <v>0.18758916854858401</v>
      </c>
      <c r="M3" s="2">
        <v>1.9741058349609379E-3</v>
      </c>
      <c r="N3" s="2">
        <v>1.1920961538950601</v>
      </c>
      <c r="O3" s="2">
        <v>4.6634674072265617E-5</v>
      </c>
      <c r="P3" s="2">
        <v>1.047261555989583E-3</v>
      </c>
    </row>
    <row r="4" spans="1:16" x14ac:dyDescent="0.3">
      <c r="A4" s="2">
        <v>20</v>
      </c>
      <c r="B4" s="2">
        <v>2358.4</v>
      </c>
      <c r="C4" s="2">
        <v>2258.27</v>
      </c>
      <c r="D4" s="2">
        <v>2020.1</v>
      </c>
      <c r="E4" s="2">
        <v>926.2</v>
      </c>
      <c r="F4" s="2">
        <v>895.2</v>
      </c>
      <c r="G4" s="3">
        <f t="shared" si="0"/>
        <v>0</v>
      </c>
      <c r="H4" s="3">
        <f t="shared" si="1"/>
        <v>4.2456750339213069E-2</v>
      </c>
      <c r="I4" s="3">
        <f t="shared" si="2"/>
        <v>0.14344470827679789</v>
      </c>
      <c r="J4" s="3">
        <f t="shared" si="3"/>
        <v>0.60727611940298509</v>
      </c>
      <c r="K4" s="3">
        <f t="shared" si="4"/>
        <v>0.62042062415196741</v>
      </c>
      <c r="L4" s="2">
        <v>0.30673311948776238</v>
      </c>
      <c r="M4" s="2">
        <v>4.0775060653686522E-3</v>
      </c>
      <c r="N4" s="2">
        <v>2.9169632673263548</v>
      </c>
      <c r="O4" s="2">
        <v>0</v>
      </c>
      <c r="P4" s="2">
        <v>7.974028587341309E-4</v>
      </c>
    </row>
    <row r="5" spans="1:16" x14ac:dyDescent="0.3">
      <c r="A5" s="2">
        <v>25</v>
      </c>
      <c r="B5" s="2">
        <v>2252.12</v>
      </c>
      <c r="C5" s="2">
        <v>2099.5172299999999</v>
      </c>
      <c r="D5" s="2">
        <v>2028.2</v>
      </c>
      <c r="E5" s="2">
        <v>788.56</v>
      </c>
      <c r="F5" s="2">
        <v>692.08</v>
      </c>
      <c r="G5" s="3">
        <f>(B5-B5)/B5</f>
        <v>0</v>
      </c>
      <c r="H5" s="3">
        <f>(B5-C5)/B5</f>
        <v>6.7759608724224277E-2</v>
      </c>
      <c r="I5" s="3">
        <f t="shared" si="2"/>
        <v>9.9426318313411297E-2</v>
      </c>
      <c r="J5" s="3">
        <f>(B5-E5)/B5</f>
        <v>0.64985879970871885</v>
      </c>
      <c r="K5" s="3">
        <f>(B5-F5)/B5</f>
        <v>0.69269843525211805</v>
      </c>
      <c r="L5" s="2">
        <v>0.43283733367919919</v>
      </c>
      <c r="M5" s="2">
        <v>5.3129196166992188E-3</v>
      </c>
      <c r="N5" s="2">
        <v>5.8340773773193364</v>
      </c>
      <c r="O5" s="2">
        <v>4.5330047607421869E-4</v>
      </c>
      <c r="P5" s="2">
        <v>0</v>
      </c>
    </row>
    <row r="6" spans="1:16" x14ac:dyDescent="0.3">
      <c r="A6" s="2">
        <v>30</v>
      </c>
      <c r="B6" s="2">
        <v>4290.4333333333334</v>
      </c>
      <c r="C6" s="2">
        <v>3970.1785714285702</v>
      </c>
      <c r="D6" s="2">
        <v>3429.5333333333328</v>
      </c>
      <c r="E6" s="2">
        <v>1495.9666666666669</v>
      </c>
      <c r="F6" s="2">
        <v>1470.4666666666669</v>
      </c>
      <c r="G6" s="3">
        <f t="shared" si="0"/>
        <v>0</v>
      </c>
      <c r="H6" s="3">
        <f t="shared" si="1"/>
        <v>7.4643919861574939E-2</v>
      </c>
      <c r="I6" s="3">
        <f t="shared" si="2"/>
        <v>0.20065572242120078</v>
      </c>
      <c r="J6" s="3">
        <f t="shared" si="3"/>
        <v>0.6513250409826512</v>
      </c>
      <c r="K6" s="3">
        <f t="shared" si="4"/>
        <v>0.65726849657765718</v>
      </c>
      <c r="L6" s="2">
        <v>0.59729191462198905</v>
      </c>
      <c r="M6" s="2">
        <v>3.142929077148437E-3</v>
      </c>
      <c r="N6" s="2">
        <v>10.72646949291229</v>
      </c>
      <c r="O6" s="2">
        <v>3.1753381093343103E-4</v>
      </c>
      <c r="P6" s="2">
        <v>3.4066041310628248E-4</v>
      </c>
    </row>
    <row r="7" spans="1:16" x14ac:dyDescent="0.3">
      <c r="A7" s="2">
        <v>40</v>
      </c>
      <c r="B7" s="2">
        <v>4790.8999999999996</v>
      </c>
      <c r="C7" s="2">
        <v>4369.0540540540496</v>
      </c>
      <c r="D7" s="2">
        <v>4087.9749999999999</v>
      </c>
      <c r="E7" s="2">
        <v>2860.6</v>
      </c>
      <c r="F7" s="2">
        <v>2851.1750000000002</v>
      </c>
      <c r="G7" s="3">
        <f>(B7-B7)/B7</f>
        <v>0</v>
      </c>
      <c r="H7" s="3">
        <f>(B7-C7)/B7</f>
        <v>8.805150304659877E-2</v>
      </c>
      <c r="I7" s="3">
        <f t="shared" si="2"/>
        <v>0.14672086664301065</v>
      </c>
      <c r="J7" s="3">
        <f>(B7-E7)/B7</f>
        <v>0.40290968294057483</v>
      </c>
      <c r="K7" s="3">
        <f>(B7-F7)/B7</f>
        <v>0.40487695422571951</v>
      </c>
      <c r="L7" s="2">
        <v>1.0632446527481001</v>
      </c>
      <c r="M7" s="2">
        <v>3.3708733320236203E-2</v>
      </c>
      <c r="N7" s="2">
        <v>45.0954016804695</v>
      </c>
      <c r="O7" s="2">
        <v>3.21640968322753E-3</v>
      </c>
      <c r="P7" s="2">
        <v>1.0184466838836601E-3</v>
      </c>
    </row>
    <row r="8" spans="1:16" x14ac:dyDescent="0.3">
      <c r="A8" s="2">
        <v>50</v>
      </c>
      <c r="B8" s="2">
        <v>4743.88</v>
      </c>
      <c r="C8" s="2">
        <v>4211.1578990643002</v>
      </c>
      <c r="D8" s="2">
        <v>4139.08</v>
      </c>
      <c r="E8" s="2">
        <v>3068.32</v>
      </c>
      <c r="F8" s="2">
        <v>3038.48</v>
      </c>
      <c r="G8" s="3">
        <f>(B8-B8)/B8</f>
        <v>0</v>
      </c>
      <c r="H8" s="3">
        <f>(B8-C8)/B8</f>
        <v>0.11229670669066248</v>
      </c>
      <c r="I8" s="3">
        <f t="shared" ref="I8" si="5">(B8-D8)/B8</f>
        <v>0.12749057733332211</v>
      </c>
      <c r="J8" s="3">
        <f>(B8-E8)/B8</f>
        <v>0.35320454986213817</v>
      </c>
      <c r="K8" s="3">
        <f>(B8-F8)/B8</f>
        <v>0.35949475956390131</v>
      </c>
      <c r="L8" s="2">
        <v>5.2386831808090211</v>
      </c>
      <c r="M8" s="2">
        <v>4.7929778099060058E-2</v>
      </c>
      <c r="N8" s="2">
        <v>57.730695567131001</v>
      </c>
      <c r="O8" s="2">
        <v>1.3086032867431639E-3</v>
      </c>
      <c r="P8" s="2">
        <v>7.0690155029296876E-4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Nuevos Resultados</vt:lpstr>
      <vt:lpstr>ResultadosFinales</vt:lpstr>
      <vt:lpstr>ResultadosFinales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2025-10-13T04:33:01Z</dcterms:created>
  <dcterms:modified xsi:type="dcterms:W3CDTF">2025-12-08T19:29:31Z</dcterms:modified>
</cp:coreProperties>
</file>